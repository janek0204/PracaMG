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jasiu\Desktop\Praca Magisterska\Model\"/>
    </mc:Choice>
  </mc:AlternateContent>
  <xr:revisionPtr revIDLastSave="0" documentId="13_ncr:1_{1088F750-5FF2-47FC-B99E-3BC3488ACE4D}" xr6:coauthVersionLast="47" xr6:coauthVersionMax="47" xr10:uidLastSave="{00000000-0000-0000-0000-000000000000}"/>
  <bookViews>
    <workbookView xWindow="-120" yWindow="-120" windowWidth="38640" windowHeight="21120" tabRatio="901" activeTab="2" xr2:uid="{00000000-000D-0000-FFFF-FFFF00000000}"/>
  </bookViews>
  <sheets>
    <sheet name="SEC_Processes" sheetId="127" r:id="rId1"/>
    <sheet name="SEC_Comm" sheetId="112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33" l="1"/>
  <c r="D12" i="133"/>
  <c r="B13" i="133"/>
  <c r="B12" i="133"/>
  <c r="E9" i="133"/>
  <c r="E8" i="133"/>
  <c r="E7" i="133"/>
  <c r="E11" i="133"/>
  <c r="E10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<sst xmlns="http://schemas.openxmlformats.org/spreadsheetml/2006/main" count="164" uniqueCount="102">
  <si>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</si>
  <si>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</si>
  <si>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</si>
  <si>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</si>
  <si>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</si>
  <si>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</si>
  <si>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</si>
  <si>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</si>
  <si>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</si>
  <si>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</si>
  <si>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</si>
  <si>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</si>
  <si>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</si>
  <si>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</si>
  <si>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</si>
  <si>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</si>
  <si>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</si>
  <si>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TimeSlice Level</t>
  </si>
  <si>
    <t>Primary Commodity Group</t>
  </si>
  <si>
    <t>Vintage Tracking</t>
  </si>
  <si>
    <t>MIN</t>
  </si>
  <si>
    <t>MIN_SOLAR</t>
  </si>
  <si>
    <t>GWh</t>
  </si>
  <si>
    <t>GWh/yr</t>
  </si>
  <si>
    <t>DAYNITE</t>
  </si>
  <si>
    <t>MIN_WIND_ON</t>
  </si>
  <si>
    <t>MIN_WIND_OFF</t>
  </si>
  <si>
    <t>IMP</t>
  </si>
  <si>
    <t>IMP_NAT_GAS</t>
  </si>
  <si>
    <t>IMP_ELC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</si>
  <si>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</si>
  <si>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</si>
  <si>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</si>
  <si>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</si>
  <si>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</si>
  <si>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</si>
  <si>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</si>
  <si>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</si>
  <si>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</si>
  <si>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</si>
  <si>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</si>
  <si>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</si>
  <si>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</si>
  <si>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</si>
  <si>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</si>
  <si>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</si>
  <si>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</si>
  <si>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</si>
  <si>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</si>
  <si>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</si>
  <si>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</si>
  <si>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</si>
  <si>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</si>
  <si>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</si>
  <si>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</si>
  <si>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</si>
  <si>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</si>
  <si>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</si>
  <si>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</si>
  <si>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</si>
  <si>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</si>
  <si>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</si>
  <si>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</si>
  <si>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Peak Monitoring</t>
  </si>
  <si>
    <t>Electricity Indicator (for CHPs)</t>
  </si>
  <si>
    <t>NRG</t>
  </si>
  <si>
    <t>SOLAR</t>
  </si>
  <si>
    <t>Solar Irradiation Process</t>
  </si>
  <si>
    <t>WIND_ON</t>
  </si>
  <si>
    <t>Wind Onshore</t>
  </si>
  <si>
    <t>WIND_OFF</t>
  </si>
  <si>
    <t>Wind Offshore</t>
  </si>
  <si>
    <t>NAT_GAS</t>
  </si>
  <si>
    <t>Natural Gas</t>
  </si>
  <si>
    <t>ELC</t>
  </si>
  <si>
    <t>Electricity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</si>
  <si>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</si>
  <si>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</si>
  <si>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</si>
  <si>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</si>
  <si>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</si>
  <si>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</si>
  <si>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</si>
  <si>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</si>
  <si>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</si>
  <si>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</si>
  <si>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Primary Energy Carriers Extraction</t>
  </si>
  <si>
    <t>~FI_T</t>
  </si>
  <si>
    <t>* TechDesc</t>
  </si>
  <si>
    <t>Comm-OUT</t>
  </si>
  <si>
    <t>COST</t>
  </si>
  <si>
    <t>CUM</t>
  </si>
  <si>
    <t>\I: Technology Name</t>
  </si>
  <si>
    <t>Output Commodity</t>
  </si>
  <si>
    <t>Extraction Cost [EUR/GWh]</t>
  </si>
  <si>
    <t>Cumulative bound</t>
  </si>
  <si>
    <t>MIN_HARD_COAL</t>
  </si>
  <si>
    <t>MIN_LIGNITE</t>
  </si>
  <si>
    <t>HARD_COAL</t>
  </si>
  <si>
    <t>LIGNITE</t>
  </si>
  <si>
    <t>Hard Coal</t>
  </si>
  <si>
    <t>Lignite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</si>
</sst>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€]* #,##0.00_);_([$€]* \(#,##0.00\);_([$€]* &quot;-&quot;??_);_(@_)"/>
    <numFmt numFmtId="165" formatCode="\Te\x\t"/>
    <numFmt numFmtId="166" formatCode="0.00000000"/>
    <numFmt numFmtId="167" formatCode="0.0000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5" fontId="53" fillId="31" borderId="17" xfId="274" applyNumberFormat="1" applyFont="1" applyFill="1" applyBorder="1" applyAlignment="1">
      <alignment horizontal="center" vertical="center" wrapText="1"/>
    </xf>
    <xf numFmtId="166" fontId="1" fillId="28" borderId="0" xfId="0" applyNumberFormat="1" applyFont="1" applyFill="1"/>
    <xf numFmtId="166" fontId="1" fillId="0" borderId="0" xfId="277" applyNumberFormat="1"/>
    <xf numFmtId="167" fontId="1" fillId="27" borderId="0" xfId="0" applyNumberFormat="1" applyFont="1" applyFill="1"/>
    <xf numFmtId="167" fontId="1" fillId="32" borderId="0" xfId="0" applyNumberFormat="1" applyFont="1" applyFill="1"/>
    <xf numFmtId="0" fontId="52" fillId="26" borderId="0" xfId="0" applyFont="1" applyFill="1" applyAlignment="1">
      <alignment horizontal="center"/>
    </xf>
    <xf numFmtId="0" fontId="52" fillId="26" borderId="11" xfId="0" applyFont="1" applyFill="1" applyBorder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C54" sqref="C54"/>
    </sheetView>
  </sheetViews>
  <sheetFormatPr defaultRowHeight="12.75"/>
  <cols>
    <col min="1" max="1" width="2.7109375" customWidth="1"/>
    <col min="2" max="2" width="15.7109375" customWidth="1"/>
    <col min="3" max="3" width="15" customWidth="1"/>
    <col min="4" max="4" width="24" customWidth="1"/>
    <col min="5" max="5" width="28.5703125" customWidth="1"/>
    <col min="6" max="7" width="10" customWidth="1"/>
    <col min="8" max="8" width="11.42578125" customWidth="1"/>
    <col min="9" max="9" width="14.28515625" customWidth="1"/>
    <col min="10" max="10" width="10" customWidth="1"/>
    <col min="13" max="13" width="11.85546875" customWidth="1"/>
  </cols>
  <sheetData>
    <row r="2" spans="1:10" ht="18" customHeight="1">
      <c r="A2" s="3"/>
      <c r="B2" s="15" t="s">
        <v>0</v>
      </c>
      <c r="C2" s="1"/>
      <c r="D2" s="1"/>
    </row>
    <row r="3" spans="1:10" ht="12.75" customHeight="1"/>
    <row r="4" spans="1:10" ht="15.75" customHeight="1">
      <c r="B4" s="17" t="s">
        <v>1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2</v>
      </c>
      <c r="C5" s="24" t="s">
        <v>3</v>
      </c>
      <c r="D5" s="24" t="s">
        <v>4</v>
      </c>
      <c r="E5" s="24" t="s">
        <v>5</v>
      </c>
      <c r="F5" s="24" t="s">
        <v>6</v>
      </c>
      <c r="G5" s="24" t="s">
        <v>7</v>
      </c>
      <c r="H5" s="24" t="s">
        <v>8</v>
      </c>
      <c r="I5" s="24" t="s">
        <v>9</v>
      </c>
      <c r="J5" s="24" t="s">
        <v>10</v>
      </c>
    </row>
    <row r="6" spans="1:10" ht="47.25" customHeight="1">
      <c r="B6" s="32" t="s">
        <v>11</v>
      </c>
      <c r="C6" s="32" t="s">
        <v>12</v>
      </c>
      <c r="D6" s="32" t="s">
        <v>13</v>
      </c>
      <c r="E6" s="32" t="s">
        <v>14</v>
      </c>
      <c r="F6" s="32" t="s">
        <v>15</v>
      </c>
      <c r="G6" s="32" t="s">
        <v>16</v>
      </c>
      <c r="H6" s="32" t="s">
        <v>17</v>
      </c>
      <c r="I6" s="32" t="s">
        <v>18</v>
      </c>
      <c r="J6" s="32" t="s">
        <v>19</v>
      </c>
    </row>
    <row r="7" spans="1:10" ht="15.75" customHeight="1">
      <c r="B7" s="21" t="s">
        <v>20</v>
      </c>
      <c r="C7" s="21"/>
      <c r="D7" s="21" t="s">
        <v>21</v>
      </c>
      <c r="E7" s="21"/>
      <c r="F7" s="21" t="s">
        <v>22</v>
      </c>
      <c r="G7" s="21" t="s">
        <v>23</v>
      </c>
      <c r="H7" s="21" t="s">
        <v>24</v>
      </c>
      <c r="I7" s="21"/>
      <c r="J7" s="21"/>
    </row>
    <row r="8" spans="1:10" ht="15.75" customHeight="1">
      <c r="B8" s="20" t="s">
        <v>20</v>
      </c>
      <c r="C8" s="20"/>
      <c r="D8" s="20" t="s">
        <v>25</v>
      </c>
      <c r="E8" s="20"/>
      <c r="F8" s="20" t="s">
        <v>22</v>
      </c>
      <c r="G8" s="20" t="s">
        <v>23</v>
      </c>
      <c r="H8" s="20" t="s">
        <v>24</v>
      </c>
      <c r="I8" s="20"/>
      <c r="J8" s="20"/>
    </row>
    <row r="9" spans="1:10">
      <c r="B9" s="21" t="s">
        <v>20</v>
      </c>
      <c r="C9" s="21"/>
      <c r="D9" s="21" t="s">
        <v>26</v>
      </c>
      <c r="E9" s="21"/>
      <c r="F9" s="21" t="s">
        <v>22</v>
      </c>
      <c r="G9" s="21" t="s">
        <v>23</v>
      </c>
      <c r="H9" s="21" t="s">
        <v>24</v>
      </c>
      <c r="I9" s="21"/>
      <c r="J9" s="21"/>
    </row>
    <row r="10" spans="1:10" ht="14.25" customHeight="1">
      <c r="B10" t="s">
        <v>20</v>
      </c>
      <c r="D10" t="s">
        <v>96</v>
      </c>
      <c r="F10" s="21" t="s">
        <v>22</v>
      </c>
      <c r="G10" s="21" t="s">
        <v>23</v>
      </c>
      <c r="H10" s="21" t="s">
        <v>24</v>
      </c>
      <c r="I10" s="20"/>
      <c r="J10" s="20"/>
    </row>
    <row r="11" spans="1:10">
      <c r="B11" t="s">
        <v>20</v>
      </c>
      <c r="D11" t="s">
        <v>97</v>
      </c>
      <c r="F11" s="21" t="s">
        <v>22</v>
      </c>
      <c r="G11" s="21" t="s">
        <v>23</v>
      </c>
      <c r="H11" s="21" t="s">
        <v>24</v>
      </c>
      <c r="I11" s="21"/>
      <c r="J11" s="21"/>
    </row>
    <row r="12" spans="1:10">
      <c r="B12" s="20" t="s">
        <v>27</v>
      </c>
      <c r="C12" s="20"/>
      <c r="D12" s="20" t="s">
        <v>28</v>
      </c>
      <c r="E12" s="20"/>
      <c r="F12" s="20" t="s">
        <v>22</v>
      </c>
      <c r="G12" s="20" t="s">
        <v>23</v>
      </c>
      <c r="H12" s="20" t="s">
        <v>24</v>
      </c>
    </row>
    <row r="13" spans="1:10">
      <c r="B13" s="21" t="s">
        <v>27</v>
      </c>
      <c r="C13" s="21"/>
      <c r="D13" s="21" t="s">
        <v>29</v>
      </c>
      <c r="E13" s="21"/>
      <c r="F13" s="21" t="s">
        <v>22</v>
      </c>
      <c r="G13" s="21" t="s">
        <v>23</v>
      </c>
      <c r="H13" s="21" t="s">
        <v>24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8" t="s">
        <v>30</v>
      </c>
      <c r="C22" s="38"/>
      <c r="D22" s="38"/>
    </row>
    <row r="23" spans="2:6">
      <c r="B23" s="21" t="s">
        <v>31</v>
      </c>
      <c r="C23" s="21" t="s">
        <v>32</v>
      </c>
      <c r="D23" s="21"/>
    </row>
    <row r="24" spans="2:6">
      <c r="B24" s="20" t="s">
        <v>33</v>
      </c>
      <c r="C24" s="20" t="s">
        <v>34</v>
      </c>
      <c r="D24" s="20"/>
    </row>
    <row r="25" spans="2:6">
      <c r="B25" s="21" t="s">
        <v>35</v>
      </c>
      <c r="C25" s="21" t="s">
        <v>36</v>
      </c>
      <c r="D25" s="21"/>
    </row>
    <row r="26" spans="2:6">
      <c r="B26" s="20" t="s">
        <v>37</v>
      </c>
      <c r="C26" s="20" t="s">
        <v>38</v>
      </c>
      <c r="D26" s="20"/>
    </row>
    <row r="27" spans="2:6">
      <c r="B27" s="21" t="s">
        <v>39</v>
      </c>
      <c r="C27" s="21" t="s">
        <v>40</v>
      </c>
      <c r="D27" s="21"/>
    </row>
    <row r="28" spans="2:6">
      <c r="B28" s="20" t="s">
        <v>27</v>
      </c>
      <c r="C28" s="20" t="s">
        <v>41</v>
      </c>
      <c r="D28" s="20" t="s">
        <v>42</v>
      </c>
    </row>
    <row r="29" spans="2:6">
      <c r="B29" s="21" t="s">
        <v>43</v>
      </c>
      <c r="C29" s="21" t="s">
        <v>44</v>
      </c>
      <c r="D29" s="21" t="s">
        <v>45</v>
      </c>
    </row>
    <row r="30" spans="2:6">
      <c r="B30" s="20" t="s">
        <v>20</v>
      </c>
      <c r="C30" s="20" t="s">
        <v>46</v>
      </c>
      <c r="D30" s="20" t="s">
        <v>42</v>
      </c>
    </row>
    <row r="31" spans="2:6" ht="13.5" thickBot="1">
      <c r="B31" s="22" t="s">
        <v>47</v>
      </c>
      <c r="C31" s="22" t="s">
        <v>48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topLeftCell="A4" zoomScale="110" zoomScaleNormal="110" workbookViewId="0">
      <selection activeCell="F42" sqref="F42"/>
    </sheetView>
  </sheetViews>
  <sheetFormatPr defaultRowHeight="12.75"/>
  <cols>
    <col min="1" max="1" width="2.7109375" customWidth="1"/>
    <col min="2" max="3" width="14.28515625" customWidth="1"/>
    <col min="4" max="4" width="32.7109375" customWidth="1"/>
    <col min="5" max="5" width="10.7109375" customWidth="1"/>
    <col min="6" max="6" width="15.7109375" customWidth="1"/>
    <col min="7" max="7" width="15" customWidth="1"/>
    <col min="8" max="8" width="12.7109375" customWidth="1"/>
    <col min="9" max="9" width="15.7109375" customWidth="1"/>
    <col min="10" max="10" width="7.42578125" bestFit="1" customWidth="1"/>
    <col min="11" max="12" width="10.7109375" bestFit="1" customWidth="1"/>
  </cols>
  <sheetData>
    <row r="2" spans="2:9" ht="18">
      <c r="B2" s="15" t="s">
        <v>49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50</v>
      </c>
      <c r="C4" s="26"/>
      <c r="D4" s="26"/>
      <c r="E4" s="26"/>
      <c r="F4" s="26"/>
      <c r="G4" s="26"/>
      <c r="H4" s="26"/>
      <c r="I4" s="26"/>
    </row>
    <row r="5" spans="2:9">
      <c r="B5" s="27" t="s">
        <v>51</v>
      </c>
      <c r="C5" s="27" t="s">
        <v>52</v>
      </c>
      <c r="D5" s="27" t="s">
        <v>53</v>
      </c>
      <c r="E5" s="27" t="s">
        <v>54</v>
      </c>
      <c r="F5" s="27" t="s">
        <v>55</v>
      </c>
      <c r="G5" s="27" t="s">
        <v>56</v>
      </c>
      <c r="H5" s="27" t="s">
        <v>57</v>
      </c>
      <c r="I5" s="27" t="s">
        <v>58</v>
      </c>
    </row>
    <row r="6" spans="2:9" ht="38.25">
      <c r="B6" s="33" t="s">
        <v>59</v>
      </c>
      <c r="C6" s="33" t="s">
        <v>60</v>
      </c>
      <c r="D6" s="33" t="s">
        <v>61</v>
      </c>
      <c r="E6" s="33" t="s">
        <v>54</v>
      </c>
      <c r="F6" s="33" t="s">
        <v>62</v>
      </c>
      <c r="G6" s="33" t="s">
        <v>17</v>
      </c>
      <c r="H6" s="33" t="s">
        <v>63</v>
      </c>
      <c r="I6" s="33" t="s">
        <v>64</v>
      </c>
    </row>
    <row r="7" spans="2:9" ht="12.75" customHeight="1">
      <c r="B7" s="21" t="s">
        <v>65</v>
      </c>
      <c r="C7" s="21" t="s">
        <v>66</v>
      </c>
      <c r="D7" s="21" t="s">
        <v>67</v>
      </c>
      <c r="E7" s="21" t="s">
        <v>22</v>
      </c>
      <c r="F7" s="21"/>
      <c r="G7" s="21" t="s">
        <v>24</v>
      </c>
      <c r="H7" s="21"/>
      <c r="I7" s="21"/>
    </row>
    <row r="8" spans="2:9" ht="12.75" customHeight="1">
      <c r="B8" s="20" t="s">
        <v>65</v>
      </c>
      <c r="C8" s="20" t="s">
        <v>68</v>
      </c>
      <c r="D8" s="20" t="s">
        <v>69</v>
      </c>
      <c r="E8" s="20" t="s">
        <v>22</v>
      </c>
      <c r="F8" s="20"/>
      <c r="G8" s="20" t="s">
        <v>24</v>
      </c>
      <c r="H8" s="20"/>
      <c r="I8" s="20"/>
    </row>
    <row r="9" spans="2:9" ht="12.75" customHeight="1">
      <c r="B9" s="21" t="s">
        <v>65</v>
      </c>
      <c r="C9" s="21" t="s">
        <v>70</v>
      </c>
      <c r="D9" s="21" t="s">
        <v>71</v>
      </c>
      <c r="E9" s="21" t="s">
        <v>22</v>
      </c>
      <c r="F9" s="21"/>
      <c r="G9" s="21" t="s">
        <v>24</v>
      </c>
      <c r="H9" s="21"/>
      <c r="I9" s="21"/>
    </row>
    <row r="10" spans="2:9" ht="12.75" customHeight="1">
      <c r="B10" s="20" t="s">
        <v>65</v>
      </c>
      <c r="C10" s="20" t="s">
        <v>72</v>
      </c>
      <c r="D10" s="20" t="s">
        <v>73</v>
      </c>
      <c r="E10" s="20" t="s">
        <v>22</v>
      </c>
      <c r="F10" s="20"/>
      <c r="G10" s="20" t="s">
        <v>24</v>
      </c>
      <c r="H10" s="20"/>
      <c r="I10" s="20"/>
    </row>
    <row r="11" spans="2:9" ht="12.75" customHeight="1">
      <c r="B11" t="s">
        <v>65</v>
      </c>
      <c r="C11" t="s">
        <v>98</v>
      </c>
      <c r="D11" t="s">
        <v>100</v>
      </c>
      <c r="E11" s="20" t="s">
        <v>22</v>
      </c>
      <c r="F11" s="20"/>
      <c r="G11" s="20" t="s">
        <v>24</v>
      </c>
    </row>
    <row r="12" spans="2:9">
      <c r="B12" s="23" t="s">
        <v>65</v>
      </c>
      <c r="C12" s="23" t="s">
        <v>99</v>
      </c>
      <c r="D12" t="s">
        <v>101</v>
      </c>
      <c r="E12" s="20" t="s">
        <v>22</v>
      </c>
      <c r="F12" s="20"/>
      <c r="G12" s="20" t="s">
        <v>24</v>
      </c>
    </row>
    <row r="13" spans="2:9">
      <c r="B13" s="21" t="s">
        <v>65</v>
      </c>
      <c r="C13" s="21" t="s">
        <v>74</v>
      </c>
      <c r="D13" s="21" t="s">
        <v>75</v>
      </c>
      <c r="E13" s="21" t="s">
        <v>22</v>
      </c>
      <c r="F13" s="21"/>
      <c r="G13" s="21" t="s">
        <v>24</v>
      </c>
      <c r="H13" s="21"/>
      <c r="I13" s="21" t="s">
        <v>74</v>
      </c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.5" thickBot="1">
      <c r="B24" s="39" t="s">
        <v>76</v>
      </c>
      <c r="C24" s="39"/>
    </row>
    <row r="25" spans="2:5">
      <c r="B25" s="19" t="s">
        <v>65</v>
      </c>
      <c r="C25" s="19" t="s">
        <v>77</v>
      </c>
    </row>
    <row r="26" spans="2:5">
      <c r="B26" s="20" t="s">
        <v>78</v>
      </c>
      <c r="C26" s="20" t="s">
        <v>79</v>
      </c>
    </row>
    <row r="27" spans="2:5">
      <c r="B27" s="21" t="s">
        <v>80</v>
      </c>
      <c r="C27" s="21" t="s">
        <v>81</v>
      </c>
    </row>
    <row r="28" spans="2:5">
      <c r="B28" s="20" t="s">
        <v>82</v>
      </c>
      <c r="C28" s="20" t="s">
        <v>83</v>
      </c>
    </row>
    <row r="29" spans="2:5" ht="13.5" thickBot="1">
      <c r="B29" s="22" t="s">
        <v>84</v>
      </c>
      <c r="C29" s="22" t="s">
        <v>85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F33" sqref="F33"/>
    </sheetView>
  </sheetViews>
  <sheetFormatPr defaultRowHeight="12.75"/>
  <cols>
    <col min="1" max="1" width="2.7109375" customWidth="1"/>
    <col min="2" max="2" width="22.7109375" customWidth="1"/>
    <col min="3" max="3" width="27.28515625" customWidth="1"/>
    <col min="4" max="4" width="12.7109375" customWidth="1"/>
    <col min="5" max="5" width="19.5703125" customWidth="1"/>
    <col min="6" max="7" width="14.28515625" customWidth="1"/>
    <col min="8" max="10" width="15.710937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8">
      <c r="A2" s="5"/>
      <c r="B2" s="10" t="s">
        <v>86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87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4</v>
      </c>
      <c r="C5" s="24" t="s">
        <v>88</v>
      </c>
      <c r="D5" s="24" t="s">
        <v>89</v>
      </c>
      <c r="E5" s="24" t="s">
        <v>90</v>
      </c>
      <c r="F5" s="24" t="s">
        <v>91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92</v>
      </c>
      <c r="C6" s="25" t="s">
        <v>14</v>
      </c>
      <c r="D6" s="25" t="s">
        <v>93</v>
      </c>
      <c r="E6" s="25" t="s">
        <v>94</v>
      </c>
      <c r="F6" s="25" t="s">
        <v>95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21</v>
      </c>
      <c r="C7" s="21"/>
      <c r="D7" s="21" t="s">
        <v>66</v>
      </c>
      <c r="E7" s="36">
        <f>0.00001*3.6/1000</f>
        <v>3.5999999999999998E-8</v>
      </c>
      <c r="F7" s="21"/>
      <c r="H7" s="14"/>
      <c r="I7" s="5"/>
      <c r="J7" s="5"/>
      <c r="K7" s="31"/>
    </row>
    <row r="8" spans="1:20" ht="15.75" customHeight="1">
      <c r="B8" s="20" t="s">
        <v>25</v>
      </c>
      <c r="C8" s="20"/>
      <c r="D8" s="20" t="s">
        <v>68</v>
      </c>
      <c r="E8" s="37">
        <f>0.00001*3.6/1000</f>
        <v>3.5999999999999998E-8</v>
      </c>
      <c r="F8" s="20"/>
      <c r="H8" s="14"/>
      <c r="I8" s="5"/>
      <c r="J8" s="5"/>
      <c r="K8" s="30"/>
    </row>
    <row r="9" spans="1:20">
      <c r="B9" s="21" t="s">
        <v>26</v>
      </c>
      <c r="C9" s="21"/>
      <c r="D9" s="21" t="s">
        <v>70</v>
      </c>
      <c r="E9" s="36">
        <f>0.00001*3.6/1000</f>
        <v>3.5999999999999998E-8</v>
      </c>
      <c r="F9" s="21"/>
      <c r="G9" s="29"/>
      <c r="H9" s="14"/>
      <c r="I9" s="5"/>
      <c r="J9" s="5"/>
    </row>
    <row r="10" spans="1:20">
      <c r="B10" s="20" t="s">
        <v>28</v>
      </c>
      <c r="C10" s="20"/>
      <c r="D10" s="20" t="s">
        <v>72</v>
      </c>
      <c r="E10" s="34">
        <f>10*3.6/1000</f>
        <v>3.5999999999999997E-2</v>
      </c>
      <c r="F10" s="20"/>
      <c r="G10" s="29"/>
      <c r="H10" s="14"/>
      <c r="I10" s="5"/>
      <c r="J10" s="5"/>
    </row>
    <row r="11" spans="1:20">
      <c r="B11" s="28" t="s">
        <v>29</v>
      </c>
      <c r="C11" s="29"/>
      <c r="D11" s="29" t="s">
        <v>74</v>
      </c>
      <c r="E11" s="35">
        <f>50*3.6/1000</f>
        <v>0.18</v>
      </c>
      <c r="H11" s="14"/>
      <c r="I11" s="5"/>
      <c r="J11" s="5"/>
    </row>
    <row r="12" spans="1:20">
      <c r="B12" t="str">
        <f>SEC_Processes!D10</f>
        <v>MIN_HARD_COAL</v>
      </c>
      <c r="D12" t="str">
        <f>SEC_Comm!C11</f>
        <v>HARD_COAL</v>
      </c>
      <c r="E12">
        <v>1.4999999999999999E-2</v>
      </c>
      <c r="F12" s="5"/>
      <c r="H12" s="14"/>
      <c r="I12" s="5"/>
      <c r="J12" s="5"/>
    </row>
    <row r="13" spans="1:20">
      <c r="B13" t="str">
        <f>SEC_Processes!D11</f>
        <v>MIN_LIGNITE</v>
      </c>
      <c r="D13" t="str">
        <f>SEC_Comm!C12</f>
        <v>LIGNITE</v>
      </c>
      <c r="E13">
        <v>7.0000000000000001E-3</v>
      </c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7CC6A2-DCC7-4A63-8FBE-A58A1D5DC9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SEC_Processes</vt:lpstr>
      <vt:lpstr>SEC_Comm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2000-12-13T15:53:11Z</dcterms:created>
  <dcterms:modified xsi:type="dcterms:W3CDTF">2026-05-26T07:18:05Z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812199890613555</vt:r8>
  </property>
</Properties>
</file>