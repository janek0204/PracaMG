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jasiu\Desktop\PracaMag\Polska\SuppXLS\"/>
    </mc:Choice>
  </mc:AlternateContent>
  <xr:revisionPtr revIDLastSave="0" documentId="13_ncr:1_{9F4A6344-CCBC-45B5-AF8C-6488D2540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H41" i="1" l="1"/>
  <c r="G8" i="1"/>
  <c r="E24" i="1"/>
  <c r="F24" i="1"/>
  <c r="G24" i="1"/>
  <c r="H24" i="1"/>
  <c r="I24" i="1"/>
  <c r="J24" i="1"/>
  <c r="K24" i="1"/>
  <c r="E25" i="1"/>
  <c r="F25" i="1"/>
  <c r="G25" i="1"/>
  <c r="H25" i="1"/>
  <c r="I25" i="1"/>
  <c r="J25" i="1"/>
  <c r="K25" i="1"/>
  <c r="I8" i="1" l="1"/>
  <c r="J8" i="1"/>
  <c r="K8" i="1"/>
  <c r="K29" i="1"/>
  <c r="J29" i="1"/>
  <c r="H29" i="1"/>
  <c r="F29" i="1"/>
</calcChain>
</file>

<file path=xl/sharedStrings.xml><?xml version="1.0" encoding="utf-8"?>
<sst xmlns="http://schemas.openxmlformats.org/spreadsheetml/2006/main" count="43" uniqueCount="38">
  <si>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</si>
  <si>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</si>
  <si>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</si>
  <si>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</si>
  <si>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</si>
  <si>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</si>
  <si>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</si>
  <si>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</si>
  <si>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UC_RHSRTS~2030</t>
  </si>
  <si>
    <t>UC_RHSRTS~0</t>
  </si>
  <si>
    <t>UC_Desc</t>
  </si>
  <si>
    <t>UC_RHSRTS~2035</t>
  </si>
  <si>
    <t>UC_RHSRTS~2040</t>
  </si>
  <si>
    <t>UC_RES_50_ANNUAL</t>
  </si>
  <si>
    <t>~UC_SETS: R_E: NL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</si>
  <si>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</si>
  <si>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</si>
  <si>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</si>
  <si>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</si>
  <si>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</si>
  <si>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</si>
  <si>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</si>
  <si>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</si>
  <si>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</si>
  <si>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</si>
  <si>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</si>
  <si>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</si>
  <si>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</si>
  <si>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</si>
  <si>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</si>
  <si>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</si>
  <si>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UC_RHSRTS~2045</t>
  </si>
  <si>
    <t>UC_RHSRTS~2050</t>
  </si>
  <si>
    <t>Coppied from VT_MODEL_DMD_V01:</t>
  </si>
  <si>
    <t>ELC_IND_FIN_DEM</t>
  </si>
  <si>
    <t>ELC_IND_FIN</t>
  </si>
  <si>
    <t>ELC_IND_RES_SUM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</si>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</sst>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77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2"/>
    </xf>
    <xf numFmtId="0" fontId="25" fillId="0" borderId="0" applyNumberFormat="0" applyFont="0" applyFill="0" applyBorder="0" applyProtection="0">
      <alignment horizontal="left" vertical="center" indent="2"/>
    </xf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5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6" fontId="25" fillId="20" borderId="1">
      <alignment horizontal="center" vertical="center"/>
    </xf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13" fillId="21" borderId="2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28" fillId="0" borderId="0" applyNumberFormat="0" applyFill="0" applyBorder="0" applyAlignment="0" applyProtection="0"/>
    <xf numFmtId="177" fontId="74" fillId="0" borderId="0">
      <protection locked="0"/>
    </xf>
    <xf numFmtId="0" fontId="75" fillId="0" borderId="0"/>
    <xf numFmtId="0" fontId="76" fillId="0" borderId="0"/>
    <xf numFmtId="177" fontId="74" fillId="0" borderId="0">
      <protection locked="0"/>
    </xf>
    <xf numFmtId="178" fontId="74" fillId="0" borderId="0">
      <protection locked="0"/>
    </xf>
    <xf numFmtId="0" fontId="30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74" fillId="0" borderId="0">
      <protection locked="0"/>
    </xf>
    <xf numFmtId="179" fontId="25" fillId="0" borderId="0" applyFont="0" applyFill="0" applyBorder="0" applyAlignment="0" applyProtection="0">
      <alignment wrapText="1"/>
    </xf>
    <xf numFmtId="168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5" fontId="94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6" fillId="41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165" fontId="18" fillId="0" borderId="0" applyFont="0" applyFill="0" applyBorder="0" applyAlignment="0" applyProtection="0"/>
    <xf numFmtId="0" fontId="12" fillId="7" borderId="3" applyNumberFormat="0" applyAlignment="0" applyProtection="0"/>
    <xf numFmtId="0" fontId="20" fillId="0" borderId="5" applyNumberFormat="0" applyFill="0" applyAlignment="0" applyProtection="0"/>
    <xf numFmtId="0" fontId="19" fillId="0" borderId="0" applyNumberForma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0" fontId="74" fillId="0" borderId="0">
      <protection locked="0"/>
    </xf>
    <xf numFmtId="0" fontId="77" fillId="0" borderId="0"/>
    <xf numFmtId="11" fontId="25" fillId="0" borderId="0" applyFont="0" applyFill="0" applyBorder="0" applyAlignment="0" applyProtection="0"/>
    <xf numFmtId="11" fontId="25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38" fontId="59" fillId="23" borderId="0" applyNumberFormat="0" applyBorder="0" applyAlignment="0" applyProtection="0"/>
    <xf numFmtId="0" fontId="9" fillId="4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" fillId="0" borderId="6" applyNumberFormat="0" applyFill="0" applyAlignment="0" applyProtection="0"/>
    <xf numFmtId="0" fontId="79" fillId="0" borderId="0">
      <protection locked="0"/>
    </xf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" fillId="0" borderId="7" applyNumberFormat="0" applyFill="0" applyAlignment="0" applyProtection="0"/>
    <xf numFmtId="0" fontId="79" fillId="0" borderId="0">
      <protection locked="0"/>
    </xf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36" fillId="0" borderId="0" applyNumberFormat="0" applyFill="0" applyBorder="0" applyAlignment="0" applyProtection="0"/>
    <xf numFmtId="0" fontId="80" fillId="0" borderId="9" applyNumberFormat="0" applyFill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0" fontId="59" fillId="24" borderId="10" applyNumberFormat="0" applyBorder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4" fontId="40" fillId="0" borderId="0" applyBorder="0">
      <alignment horizontal="right" vertical="center"/>
    </xf>
    <xf numFmtId="4" fontId="40" fillId="0" borderId="11">
      <alignment horizontal="right" vertical="center"/>
    </xf>
    <xf numFmtId="40" fontId="41" fillId="0" borderId="0" applyFont="0" applyFill="0" applyBorder="0" applyAlignment="0" applyProtection="0"/>
    <xf numFmtId="166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09" fillId="42" borderId="0" applyNumberFormat="0" applyBorder="0" applyAlignment="0" applyProtection="0"/>
    <xf numFmtId="0" fontId="52" fillId="25" borderId="0" applyNumberFormat="0" applyBorder="0" applyAlignment="0" applyProtection="0"/>
    <xf numFmtId="0" fontId="109" fillId="4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37" fontId="81" fillId="0" borderId="0"/>
    <xf numFmtId="166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54" fillId="0" borderId="0" applyNumberFormat="0" applyFill="0" applyBorder="0" applyProtection="0">
      <alignment horizontal="left" vertical="center"/>
    </xf>
    <xf numFmtId="0" fontId="25" fillId="26" borderId="0" applyNumberFormat="0" applyFont="0" applyBorder="0" applyAlignment="0" applyProtection="0"/>
    <xf numFmtId="0" fontId="25" fillId="26" borderId="0" applyNumberFormat="0" applyFont="0" applyBorder="0" applyAlignment="0" applyProtection="0"/>
    <xf numFmtId="0" fontId="56" fillId="0" borderId="0"/>
    <xf numFmtId="0" fontId="55" fillId="0" borderId="0"/>
    <xf numFmtId="0" fontId="22" fillId="0" borderId="0"/>
    <xf numFmtId="0" fontId="68" fillId="0" borderId="0"/>
    <xf numFmtId="0" fontId="18" fillId="0" borderId="0"/>
    <xf numFmtId="0" fontId="73" fillId="0" borderId="0"/>
    <xf numFmtId="0" fontId="68" fillId="0" borderId="0"/>
    <xf numFmtId="0" fontId="6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9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3" fillId="0" borderId="0"/>
    <xf numFmtId="0" fontId="22" fillId="0" borderId="0"/>
    <xf numFmtId="0" fontId="10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04" fillId="0" borderId="0"/>
    <xf numFmtId="0" fontId="23" fillId="0" borderId="0"/>
    <xf numFmtId="0" fontId="104" fillId="0" borderId="0"/>
    <xf numFmtId="0" fontId="99" fillId="0" borderId="0"/>
    <xf numFmtId="0" fontId="99" fillId="0" borderId="0"/>
    <xf numFmtId="0" fontId="18" fillId="0" borderId="0"/>
    <xf numFmtId="0" fontId="18" fillId="0" borderId="0"/>
    <xf numFmtId="0" fontId="103" fillId="0" borderId="0"/>
    <xf numFmtId="0" fontId="104" fillId="0" borderId="0"/>
    <xf numFmtId="0" fontId="104" fillId="0" borderId="0"/>
    <xf numFmtId="0" fontId="18" fillId="0" borderId="0"/>
    <xf numFmtId="0" fontId="104" fillId="0" borderId="0"/>
    <xf numFmtId="0" fontId="18" fillId="0" borderId="0"/>
    <xf numFmtId="0" fontId="104" fillId="0" borderId="0"/>
    <xf numFmtId="0" fontId="2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10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186" fontId="97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87" fontId="97" fillId="0" borderId="0" applyFont="0" applyFill="0" applyBorder="0" applyAlignment="0" applyProtection="0"/>
    <xf numFmtId="188" fontId="97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5" borderId="14" applyNumberFormat="0" applyProtection="0">
      <alignment vertical="center"/>
    </xf>
    <xf numFmtId="4" fontId="84" fillId="28" borderId="14" applyNumberFormat="0" applyProtection="0">
      <alignment vertical="center"/>
    </xf>
    <xf numFmtId="4" fontId="83" fillId="28" borderId="14" applyNumberFormat="0" applyProtection="0">
      <alignment horizontal="left" vertical="center" indent="1"/>
    </xf>
    <xf numFmtId="0" fontId="83" fillId="28" borderId="14" applyNumberFormat="0" applyProtection="0">
      <alignment horizontal="left" vertical="top" indent="1"/>
    </xf>
    <xf numFmtId="4" fontId="83" fillId="29" borderId="0" applyNumberFormat="0" applyProtection="0">
      <alignment horizontal="left" vertical="center" indent="1"/>
    </xf>
    <xf numFmtId="4" fontId="85" fillId="3" borderId="14" applyNumberFormat="0" applyProtection="0">
      <alignment horizontal="right" vertical="center"/>
    </xf>
    <xf numFmtId="4" fontId="85" fillId="9" borderId="14" applyNumberFormat="0" applyProtection="0">
      <alignment horizontal="right" vertical="center"/>
    </xf>
    <xf numFmtId="4" fontId="85" fillId="17" borderId="14" applyNumberFormat="0" applyProtection="0">
      <alignment horizontal="right" vertical="center"/>
    </xf>
    <xf numFmtId="4" fontId="85" fillId="11" borderId="14" applyNumberFormat="0" applyProtection="0">
      <alignment horizontal="right" vertical="center"/>
    </xf>
    <xf numFmtId="4" fontId="85" fillId="15" borderId="14" applyNumberFormat="0" applyProtection="0">
      <alignment horizontal="right" vertical="center"/>
    </xf>
    <xf numFmtId="4" fontId="85" fillId="19" borderId="14" applyNumberFormat="0" applyProtection="0">
      <alignment horizontal="right" vertical="center"/>
    </xf>
    <xf numFmtId="4" fontId="85" fillId="18" borderId="14" applyNumberFormat="0" applyProtection="0">
      <alignment horizontal="right" vertical="center"/>
    </xf>
    <xf numFmtId="4" fontId="85" fillId="30" borderId="14" applyNumberFormat="0" applyProtection="0">
      <alignment horizontal="right" vertical="center"/>
    </xf>
    <xf numFmtId="4" fontId="85" fillId="10" borderId="14" applyNumberFormat="0" applyProtection="0">
      <alignment horizontal="right" vertical="center"/>
    </xf>
    <xf numFmtId="4" fontId="83" fillId="31" borderId="15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4" fontId="86" fillId="33" borderId="0" applyNumberFormat="0" applyProtection="0">
      <alignment horizontal="left" vertical="center" indent="1"/>
    </xf>
    <xf numFmtId="4" fontId="85" fillId="34" borderId="14" applyNumberFormat="0" applyProtection="0">
      <alignment horizontal="right" vertical="center"/>
    </xf>
    <xf numFmtId="4" fontId="85" fillId="32" borderId="0" applyNumberFormat="0" applyProtection="0">
      <alignment horizontal="left" vertical="center" indent="1"/>
    </xf>
    <xf numFmtId="4" fontId="85" fillId="29" borderId="0" applyNumberFormat="0" applyProtection="0">
      <alignment horizontal="left" vertical="center" indent="1"/>
    </xf>
    <xf numFmtId="0" fontId="25" fillId="33" borderId="14" applyNumberFormat="0" applyProtection="0">
      <alignment horizontal="left" vertical="center" indent="1"/>
    </xf>
    <xf numFmtId="0" fontId="25" fillId="33" borderId="14" applyNumberFormat="0" applyProtection="0">
      <alignment horizontal="left" vertical="top" indent="1"/>
    </xf>
    <xf numFmtId="0" fontId="25" fillId="29" borderId="14" applyNumberFormat="0" applyProtection="0">
      <alignment horizontal="left" vertical="center" indent="1"/>
    </xf>
    <xf numFmtId="0" fontId="25" fillId="29" borderId="14" applyNumberFormat="0" applyProtection="0">
      <alignment horizontal="left" vertical="top" indent="1"/>
    </xf>
    <xf numFmtId="0" fontId="25" fillId="20" borderId="14" applyNumberFormat="0" applyProtection="0">
      <alignment horizontal="left" vertical="center" indent="1"/>
    </xf>
    <xf numFmtId="0" fontId="25" fillId="20" borderId="14" applyNumberFormat="0" applyProtection="0">
      <alignment horizontal="left" vertical="top" indent="1"/>
    </xf>
    <xf numFmtId="0" fontId="25" fillId="35" borderId="14" applyNumberFormat="0" applyProtection="0">
      <alignment horizontal="left" vertical="center" indent="1"/>
    </xf>
    <xf numFmtId="0" fontId="25" fillId="35" borderId="14" applyNumberFormat="0" applyProtection="0">
      <alignment horizontal="left" vertical="top" indent="1"/>
    </xf>
    <xf numFmtId="4" fontId="85" fillId="24" borderId="14" applyNumberFormat="0" applyProtection="0">
      <alignment vertical="center"/>
    </xf>
    <xf numFmtId="4" fontId="87" fillId="24" borderId="14" applyNumberFormat="0" applyProtection="0">
      <alignment vertical="center"/>
    </xf>
    <xf numFmtId="4" fontId="85" fillId="24" borderId="14" applyNumberFormat="0" applyProtection="0">
      <alignment horizontal="left" vertical="center" indent="1"/>
    </xf>
    <xf numFmtId="0" fontId="85" fillId="24" borderId="14" applyNumberFormat="0" applyProtection="0">
      <alignment horizontal="left" vertical="top" indent="1"/>
    </xf>
    <xf numFmtId="4" fontId="85" fillId="32" borderId="14" applyNumberFormat="0" applyProtection="0">
      <alignment horizontal="right" vertical="center"/>
    </xf>
    <xf numFmtId="4" fontId="87" fillId="32" borderId="14" applyNumberFormat="0" applyProtection="0">
      <alignment horizontal="right" vertical="center"/>
    </xf>
    <xf numFmtId="4" fontId="85" fillId="34" borderId="14" applyNumberFormat="0" applyProtection="0">
      <alignment horizontal="left" vertical="center" indent="1"/>
    </xf>
    <xf numFmtId="0" fontId="85" fillId="29" borderId="14" applyNumberFormat="0" applyProtection="0">
      <alignment horizontal="left" vertical="top" indent="1"/>
    </xf>
    <xf numFmtId="4" fontId="88" fillId="36" borderId="0" applyNumberFormat="0" applyProtection="0">
      <alignment horizontal="left" vertical="center" indent="1"/>
    </xf>
    <xf numFmtId="4" fontId="89" fillId="32" borderId="14" applyNumberFormat="0" applyProtection="0">
      <alignment horizontal="right" vertical="center"/>
    </xf>
    <xf numFmtId="0" fontId="10" fillId="3" borderId="0" applyNumberFormat="0" applyBorder="0" applyAlignment="0" applyProtection="0"/>
    <xf numFmtId="0" fontId="40" fillId="26" borderId="10"/>
    <xf numFmtId="0" fontId="60" fillId="0" borderId="0"/>
    <xf numFmtId="0" fontId="25" fillId="0" borderId="0"/>
    <xf numFmtId="0" fontId="25" fillId="0" borderId="0"/>
    <xf numFmtId="0" fontId="7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7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68" fillId="0" borderId="0"/>
    <xf numFmtId="0" fontId="25" fillId="0" borderId="0"/>
    <xf numFmtId="0" fontId="25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41" fillId="0" borderId="0"/>
    <xf numFmtId="0" fontId="25" fillId="0" borderId="0"/>
    <xf numFmtId="0" fontId="25" fillId="0" borderId="0"/>
    <xf numFmtId="0" fontId="25" fillId="0" borderId="0"/>
    <xf numFmtId="0" fontId="59" fillId="0" borderId="0"/>
    <xf numFmtId="0" fontId="59" fillId="0" borderId="0"/>
    <xf numFmtId="0" fontId="59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5" fillId="0" borderId="0"/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2" fontId="25" fillId="0" borderId="0" applyFill="0" applyBorder="0" applyAlignment="0" applyProtection="0">
      <alignment wrapText="1"/>
    </xf>
    <xf numFmtId="183" fontId="25" fillId="0" borderId="0" applyFill="0" applyBorder="0" applyAlignment="0" applyProtection="0">
      <alignment wrapText="1"/>
    </xf>
    <xf numFmtId="0" fontId="25" fillId="0" borderId="0" applyNumberFormat="0" applyFill="0" applyBorder="0" applyProtection="0">
      <alignment horizontal="right" wrapText="1"/>
    </xf>
    <xf numFmtId="0" fontId="25" fillId="0" borderId="0" applyNumberFormat="0" applyFill="0" applyBorder="0">
      <alignment horizontal="right" wrapText="1"/>
    </xf>
    <xf numFmtId="17" fontId="25" fillId="0" borderId="0" applyFill="0" applyBorder="0">
      <alignment horizontal="right" wrapText="1"/>
    </xf>
    <xf numFmtId="167" fontId="25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0" fillId="0" borderId="5" applyNumberFormat="0" applyFill="0" applyAlignment="0" applyProtection="0"/>
    <xf numFmtId="0" fontId="79" fillId="0" borderId="0">
      <protection locked="0"/>
    </xf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7" fontId="59" fillId="28" borderId="0" applyNumberFormat="0" applyBorder="0" applyAlignment="0" applyProtection="0"/>
    <xf numFmtId="37" fontId="59" fillId="0" borderId="0"/>
    <xf numFmtId="37" fontId="59" fillId="28" borderId="0" applyNumberFormat="0" applyBorder="0" applyAlignment="0" applyProtection="0"/>
    <xf numFmtId="3" fontId="91" fillId="0" borderId="9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3" fillId="27" borderId="13" applyNumberFormat="0" applyFont="0" applyAlignment="0" applyProtection="0"/>
    <xf numFmtId="189" fontId="97" fillId="0" borderId="0" applyFont="0" applyFill="0" applyBorder="0" applyAlignment="0" applyProtection="0"/>
    <xf numFmtId="0" fontId="15" fillId="0" borderId="12" applyNumberFormat="0" applyFill="0" applyAlignment="0" applyProtection="0"/>
    <xf numFmtId="169" fontId="25" fillId="0" borderId="0" applyFont="0" applyFill="0" applyBorder="0" applyAlignment="0" applyProtection="0"/>
    <xf numFmtId="174" fontId="4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84" fontId="92" fillId="0" borderId="0">
      <alignment horizontal="right" vertical="center"/>
    </xf>
    <xf numFmtId="0" fontId="16" fillId="22" borderId="4" applyNumberFormat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4" fontId="40" fillId="0" borderId="0"/>
    <xf numFmtId="0" fontId="71" fillId="0" borderId="0" applyNumberFormat="0" applyFill="0" applyBorder="0" applyAlignment="0" applyProtection="0">
      <alignment vertical="center"/>
    </xf>
    <xf numFmtId="0" fontId="18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0" fontId="18" fillId="0" borderId="0"/>
    <xf numFmtId="0" fontId="113" fillId="0" borderId="0" applyNumberForma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14" fillId="0" borderId="0"/>
    <xf numFmtId="0" fontId="115" fillId="0" borderId="0"/>
    <xf numFmtId="0" fontId="18" fillId="0" borderId="0"/>
    <xf numFmtId="0" fontId="25" fillId="0" borderId="0"/>
    <xf numFmtId="0" fontId="116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</cellStyleXfs>
  <cellXfs count="35">
    <xf numFmtId="0" fontId="0" fillId="0" borderId="0" xfId="0"/>
    <xf numFmtId="185" fontId="0" fillId="0" borderId="0" xfId="0" applyNumberFormat="1"/>
    <xf numFmtId="2" fontId="72" fillId="0" borderId="0" xfId="1112" applyNumberFormat="1" applyFont="1"/>
    <xf numFmtId="0" fontId="4" fillId="0" borderId="0" xfId="0" applyFont="1"/>
    <xf numFmtId="0" fontId="93" fillId="0" borderId="0" xfId="0" applyFont="1"/>
    <xf numFmtId="0" fontId="95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190" fontId="111" fillId="44" borderId="0" xfId="0" applyNumberFormat="1" applyFont="1" applyFill="1"/>
    <xf numFmtId="190" fontId="112" fillId="44" borderId="0" xfId="0" applyNumberFormat="1" applyFont="1" applyFill="1"/>
    <xf numFmtId="0" fontId="18" fillId="43" borderId="18" xfId="0" applyFont="1" applyFill="1" applyBorder="1" applyAlignment="1">
      <alignment wrapText="1"/>
    </xf>
    <xf numFmtId="0" fontId="18" fillId="43" borderId="18" xfId="0" applyFont="1" applyFill="1" applyBorder="1"/>
    <xf numFmtId="190" fontId="95" fillId="45" borderId="19" xfId="0" applyNumberFormat="1" applyFont="1" applyFill="1" applyBorder="1" applyAlignment="1">
      <alignment horizontal="center" vertical="center"/>
    </xf>
    <xf numFmtId="190" fontId="95" fillId="45" borderId="19" xfId="0" applyNumberFormat="1" applyFont="1" applyFill="1" applyBorder="1" applyAlignment="1">
      <alignment horizontal="center" vertical="center"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0" fontId="18" fillId="43" borderId="18" xfId="1114" applyFont="1" applyFill="1" applyBorder="1"/>
    <xf numFmtId="0" fontId="4" fillId="0" borderId="0" xfId="0" quotePrefix="1" applyFont="1" applyAlignment="1">
      <alignment horizontal="left"/>
    </xf>
    <xf numFmtId="0" fontId="59" fillId="0" borderId="0" xfId="0" applyFont="1"/>
    <xf numFmtId="190" fontId="3" fillId="28" borderId="21" xfId="0" applyNumberFormat="1" applyFont="1" applyFill="1" applyBorder="1" applyAlignment="1">
      <alignment horizontal="center" vertical="center"/>
    </xf>
    <xf numFmtId="0" fontId="3" fillId="28" borderId="21" xfId="0" applyFont="1" applyFill="1" applyBorder="1" applyAlignment="1">
      <alignment horizontal="center" vertical="center"/>
    </xf>
    <xf numFmtId="190" fontId="25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8" fillId="0" borderId="0" xfId="0" applyNumberFormat="1" applyFont="1"/>
    <xf numFmtId="0" fontId="0" fillId="48" borderId="0" xfId="0" applyFill="1" applyAlignment="1">
      <alignment horizontal="center"/>
    </xf>
    <xf numFmtId="3" fontId="18" fillId="43" borderId="18" xfId="1116" applyNumberFormat="1" applyFill="1" applyBorder="1" applyAlignment="1">
      <alignment horizontal="center"/>
    </xf>
    <xf numFmtId="0" fontId="18" fillId="43" borderId="18" xfId="2202" applyFill="1" applyBorder="1" applyAlignment="1">
      <alignment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190" fontId="25" fillId="47" borderId="22" xfId="1060" applyNumberFormat="1" applyFill="1" applyBorder="1" applyAlignment="1">
      <alignment horizontal="center" vertical="center" wrapText="1"/>
    </xf>
    <xf numFmtId="190" fontId="25" fillId="47" borderId="22" xfId="1060" applyNumberFormat="1" applyFill="1" applyBorder="1" applyAlignment="1">
      <alignment vertical="center" wrapText="1"/>
    </xf>
  </cellXfs>
  <cellStyles count="2377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3 2" xfId="2374" xr:uid="{495630CB-D11F-4538-AD6C-83452EAD8EEA}"/>
    <cellStyle name="Dezimal [0] 2 4" xfId="2145" xr:uid="{45991FF1-7CE7-4D54-AEF9-5B7CAB0FE255}"/>
    <cellStyle name="Dezimal [0] 2 4 2" xfId="2330" xr:uid="{A8DEAE6B-00CC-46FF-811A-8E134CB14ECD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2 2" xfId="2375" xr:uid="{B8B99C81-F38A-479D-AC60-FFD287F8A376}"/>
    <cellStyle name="Komma 3 3" xfId="2146" xr:uid="{B45ECE04-DAC1-4934-846A-6D710EFC848C}"/>
    <cellStyle name="Komma 3 3 2" xfId="2331" xr:uid="{2375C103-C7FC-4A19-8269-E418A74F78B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" xfId="0" builtinId="0"/>
    <cellStyle name="Normal - Style1" xfId="1059" xr:uid="{00000000-0005-0000-0000-000022040000}"/>
    <cellStyle name="Normal - Style1 2" xfId="2195" xr:uid="{7CDD5E36-9C9A-4BC1-A559-FEC3C5910260}"/>
    <cellStyle name="Normal - Style1 2 2" xfId="2376" xr:uid="{5A9E604D-ED54-4923-8D74-4CE766C627DA}"/>
    <cellStyle name="Normal - Style1 3" xfId="2147" xr:uid="{F90D66D8-4A91-4ACD-9280-ED5417E49CB9}"/>
    <cellStyle name="Normal - Style1 3 2" xfId="2332" xr:uid="{DA4E6336-CAF1-4D0C-8E22-2213000BC628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16" xfId="2202" xr:uid="{068BF4C0-BFF2-402D-BCD4-C5142E4CEDB1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2 2" xfId="2203" xr:uid="{3A16F9DE-A32B-45B2-BA54-4127ABCCE31E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2 2" xfId="2204" xr:uid="{5DA1C8F0-1916-42A7-9365-B6FEACA14132}"/>
    <cellStyle name="Normalny 13 13 3" xfId="1215" xr:uid="{00000000-0005-0000-0000-0000C0040000}"/>
    <cellStyle name="Normalny 13 14" xfId="1216" xr:uid="{00000000-0005-0000-0000-0000C1040000}"/>
    <cellStyle name="Normalny 13 14 2" xfId="2205" xr:uid="{B6F7A90B-6904-438C-8943-26BE1ED3CC3E}"/>
    <cellStyle name="Normalny 13 15" xfId="1217" xr:uid="{00000000-0005-0000-0000-0000C2040000}"/>
    <cellStyle name="Normalny 13 15 2" xfId="1218" xr:uid="{00000000-0005-0000-0000-0000C3040000}"/>
    <cellStyle name="Normalny 13 15 2 2" xfId="2206" xr:uid="{C2519E4A-5494-46A2-840D-952F1D1B98B3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2 2" xfId="2207" xr:uid="{2FB87C6A-10DE-4B5C-8B55-C40591A31327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2 2" xfId="2208" xr:uid="{DEAEBAB1-B8F0-4FCF-8807-7F32E099E164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2 2" xfId="2209" xr:uid="{D4EC409D-BF3A-4770-9F75-098B1E1A1E5E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10 2" xfId="2334" xr:uid="{8B5FA59F-6F97-4357-B77F-73EA38EA7DD6}"/>
    <cellStyle name="Normalny 13 2 11" xfId="2210" xr:uid="{8AFF86EF-58B4-46DA-A764-5B9B4DB464A0}"/>
    <cellStyle name="Normalny 13 2 2" xfId="1231" xr:uid="{00000000-0005-0000-0000-0000D0040000}"/>
    <cellStyle name="Normalny 13 2 2 10" xfId="2211" xr:uid="{7FB84F4F-BF29-4595-8FA5-89997DEFC04E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2 2" xfId="2215" xr:uid="{31004B4B-4EE4-4257-9926-9B1863E2CC45}"/>
    <cellStyle name="Normalny 13 2 2 2 2 2 2 3" xfId="1237" xr:uid="{00000000-0005-0000-0000-0000D6040000}"/>
    <cellStyle name="Normalny 13 2 2 2 2 2 3" xfId="1238" xr:uid="{00000000-0005-0000-0000-0000D7040000}"/>
    <cellStyle name="Normalny 13 2 2 2 2 2 3 2" xfId="2216" xr:uid="{A02E1808-8DE9-4088-A762-A5532D2740CA}"/>
    <cellStyle name="Normalny 13 2 2 2 2 2 4" xfId="2153" xr:uid="{03EE37A0-A66A-4935-A96E-CF62FFCF59B9}"/>
    <cellStyle name="Normalny 13 2 2 2 2 2 4 2" xfId="2338" xr:uid="{2D629348-C391-42BB-BE79-87A416132AC6}"/>
    <cellStyle name="Normalny 13 2 2 2 2 2 5" xfId="2214" xr:uid="{DC6AB827-DAF0-4701-98AE-F384F41D65A3}"/>
    <cellStyle name="Normalny 13 2 2 2 2 3" xfId="1239" xr:uid="{00000000-0005-0000-0000-0000D8040000}"/>
    <cellStyle name="Normalny 13 2 2 2 2 4" xfId="1240" xr:uid="{00000000-0005-0000-0000-0000D9040000}"/>
    <cellStyle name="Normalny 13 2 2 2 2 4 2" xfId="2217" xr:uid="{8E8A5C09-630B-4953-AE4A-974DCCEAF969}"/>
    <cellStyle name="Normalny 13 2 2 2 2 5" xfId="2152" xr:uid="{5DDC0F33-8CC7-4CB0-BCE6-77A13995D1ED}"/>
    <cellStyle name="Normalny 13 2 2 2 2 5 2" xfId="2337" xr:uid="{96A19C84-E7BE-4D2C-B2EF-594E29208F6B}"/>
    <cellStyle name="Normalny 13 2 2 2 2 6" xfId="2213" xr:uid="{BC4A159F-C85F-42DE-A665-A100F1B0AA49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2 2" xfId="2220" xr:uid="{BDEEEBD1-4C79-428A-A7E4-5E0F3A7BE22F}"/>
    <cellStyle name="Normalny 13 2 2 2 3 2 2 3" xfId="1246" xr:uid="{00000000-0005-0000-0000-0000DF040000}"/>
    <cellStyle name="Normalny 13 2 2 2 3 2 3" xfId="1247" xr:uid="{00000000-0005-0000-0000-0000E0040000}"/>
    <cellStyle name="Normalny 13 2 2 2 3 2 3 2" xfId="2221" xr:uid="{64831A72-6311-4C75-9D68-6FB4D5BA439D}"/>
    <cellStyle name="Normalny 13 2 2 2 3 2 4" xfId="2155" xr:uid="{CC1A891E-2166-497E-A729-CCA84FA89014}"/>
    <cellStyle name="Normalny 13 2 2 2 3 2 4 2" xfId="2340" xr:uid="{B8464342-4232-4F27-AC39-0A2A994D5BDD}"/>
    <cellStyle name="Normalny 13 2 2 2 3 2 5" xfId="2219" xr:uid="{A079DB47-E423-4B69-9551-A05ACDA08007}"/>
    <cellStyle name="Normalny 13 2 2 2 3 3" xfId="1248" xr:uid="{00000000-0005-0000-0000-0000E1040000}"/>
    <cellStyle name="Normalny 13 2 2 2 3 4" xfId="1249" xr:uid="{00000000-0005-0000-0000-0000E2040000}"/>
    <cellStyle name="Normalny 13 2 2 2 3 4 2" xfId="2222" xr:uid="{6E3F1F48-B5AA-4EB6-8D55-5B72672648A9}"/>
    <cellStyle name="Normalny 13 2 2 2 3 5" xfId="2154" xr:uid="{3754ED24-DB83-4EC6-8D74-AFF6A138FF17}"/>
    <cellStyle name="Normalny 13 2 2 2 3 5 2" xfId="2339" xr:uid="{B070F8D9-316D-4EEB-983B-44BF615DF0FA}"/>
    <cellStyle name="Normalny 13 2 2 2 3 6" xfId="2218" xr:uid="{3451ACBE-E5A6-40D3-8D72-68F10076387D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2 2" xfId="2224" xr:uid="{CCA0DB9C-9C30-44CD-8336-CF3FC368C58F}"/>
    <cellStyle name="Normalny 13 2 2 2 4 2 3" xfId="1254" xr:uid="{00000000-0005-0000-0000-0000E7040000}"/>
    <cellStyle name="Normalny 13 2 2 2 4 3" xfId="1255" xr:uid="{00000000-0005-0000-0000-0000E8040000}"/>
    <cellStyle name="Normalny 13 2 2 2 4 3 2" xfId="2225" xr:uid="{B4C5EF26-CE09-441C-8937-01EE3AB05ADB}"/>
    <cellStyle name="Normalny 13 2 2 2 4 4" xfId="2156" xr:uid="{056FB9E9-1C91-4F4C-8285-982C809A769D}"/>
    <cellStyle name="Normalny 13 2 2 2 4 4 2" xfId="2341" xr:uid="{1325D7F7-A1B0-4AE9-8BDE-A8DFD36F03AC}"/>
    <cellStyle name="Normalny 13 2 2 2 4 5" xfId="2223" xr:uid="{40DDC8ED-91A3-4E8C-BCB2-4C9D0127720C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2 2" xfId="2227" xr:uid="{4445CE8E-6B33-416A-8D62-40E8340C9409}"/>
    <cellStyle name="Normalny 13 2 2 2 5 2 3" xfId="1259" xr:uid="{00000000-0005-0000-0000-0000EC040000}"/>
    <cellStyle name="Normalny 13 2 2 2 5 3" xfId="1260" xr:uid="{00000000-0005-0000-0000-0000ED040000}"/>
    <cellStyle name="Normalny 13 2 2 2 5 3 2" xfId="2228" xr:uid="{A9B56D5C-6E73-4EC7-9EFF-C24A41F3B7B3}"/>
    <cellStyle name="Normalny 13 2 2 2 5 4" xfId="2157" xr:uid="{0581889A-7C3B-47A1-A539-E6331E771975}"/>
    <cellStyle name="Normalny 13 2 2 2 5 4 2" xfId="2342" xr:uid="{B1816726-CABD-448C-99A0-F7B6A6BCCFCC}"/>
    <cellStyle name="Normalny 13 2 2 2 5 5" xfId="2226" xr:uid="{52A32446-ECD6-4666-9FDD-CBA4DEDEE927}"/>
    <cellStyle name="Normalny 13 2 2 2 6" xfId="1261" xr:uid="{00000000-0005-0000-0000-0000EE040000}"/>
    <cellStyle name="Normalny 13 2 2 2 7" xfId="1262" xr:uid="{00000000-0005-0000-0000-0000EF040000}"/>
    <cellStyle name="Normalny 13 2 2 2 7 2" xfId="2229" xr:uid="{6DF1E6CE-7A86-4FB6-9AAA-7CD964942601}"/>
    <cellStyle name="Normalny 13 2 2 2 8" xfId="2151" xr:uid="{80C9BE03-A039-4739-9CEF-7DD392C86199}"/>
    <cellStyle name="Normalny 13 2 2 2 8 2" xfId="2336" xr:uid="{F68236C6-332F-4C84-A1F2-4085E508F093}"/>
    <cellStyle name="Normalny 13 2 2 2 9" xfId="2212" xr:uid="{D6385B5E-5DEB-45E9-8A75-B5CD12B3880A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2 2" xfId="2232" xr:uid="{9AB56DB8-8574-42C1-8DE4-CD25B890D006}"/>
    <cellStyle name="Normalny 13 2 2 3 2 2 3" xfId="1268" xr:uid="{00000000-0005-0000-0000-0000F5040000}"/>
    <cellStyle name="Normalny 13 2 2 3 2 3" xfId="1269" xr:uid="{00000000-0005-0000-0000-0000F6040000}"/>
    <cellStyle name="Normalny 13 2 2 3 2 3 2" xfId="2233" xr:uid="{944D0CE3-423C-4379-84FA-4F65B1338BC9}"/>
    <cellStyle name="Normalny 13 2 2 3 2 4" xfId="2159" xr:uid="{AD05D97D-BE2D-49DA-9963-0233C5447516}"/>
    <cellStyle name="Normalny 13 2 2 3 2 4 2" xfId="2344" xr:uid="{147E5679-5202-4A01-A72F-CE4960E4322A}"/>
    <cellStyle name="Normalny 13 2 2 3 2 5" xfId="2231" xr:uid="{213E3CC4-4AC9-4869-832B-3F7DF9A126B0}"/>
    <cellStyle name="Normalny 13 2 2 3 3" xfId="1270" xr:uid="{00000000-0005-0000-0000-0000F7040000}"/>
    <cellStyle name="Normalny 13 2 2 3 4" xfId="1271" xr:uid="{00000000-0005-0000-0000-0000F8040000}"/>
    <cellStyle name="Normalny 13 2 2 3 4 2" xfId="2234" xr:uid="{5C916515-81E7-4A5A-A290-2D0B4B128056}"/>
    <cellStyle name="Normalny 13 2 2 3 5" xfId="2158" xr:uid="{A8346063-D5CE-434F-A2A5-777DD4EA4865}"/>
    <cellStyle name="Normalny 13 2 2 3 5 2" xfId="2343" xr:uid="{ADC2D8BB-43D3-4D6F-A3BA-37B3A303CCC4}"/>
    <cellStyle name="Normalny 13 2 2 3 6" xfId="2230" xr:uid="{9BD82341-BAC0-4B22-B02F-A4EB508A6D40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2 2" xfId="2237" xr:uid="{699043B6-F007-4DCA-A860-387F20506FBF}"/>
    <cellStyle name="Normalny 13 2 2 4 2 2 3" xfId="1277" xr:uid="{00000000-0005-0000-0000-0000FE040000}"/>
    <cellStyle name="Normalny 13 2 2 4 2 3" xfId="1278" xr:uid="{00000000-0005-0000-0000-0000FF040000}"/>
    <cellStyle name="Normalny 13 2 2 4 2 3 2" xfId="2238" xr:uid="{B847DD41-ECEC-4928-8A2C-24BE7E0487D2}"/>
    <cellStyle name="Normalny 13 2 2 4 2 4" xfId="2161" xr:uid="{C42174BC-B058-496B-A5C5-C061DF1EDE8E}"/>
    <cellStyle name="Normalny 13 2 2 4 2 4 2" xfId="2346" xr:uid="{92E68B0A-4AFC-4443-8EBB-1AB09BF5D091}"/>
    <cellStyle name="Normalny 13 2 2 4 2 5" xfId="2236" xr:uid="{B31649E0-0E8B-4F48-8987-4E60D93C72D6}"/>
    <cellStyle name="Normalny 13 2 2 4 3" xfId="1279" xr:uid="{00000000-0005-0000-0000-000000050000}"/>
    <cellStyle name="Normalny 13 2 2 4 4" xfId="1280" xr:uid="{00000000-0005-0000-0000-000001050000}"/>
    <cellStyle name="Normalny 13 2 2 4 4 2" xfId="2239" xr:uid="{20F73F39-4F5B-473E-B8B4-749C6BB487A5}"/>
    <cellStyle name="Normalny 13 2 2 4 5" xfId="2160" xr:uid="{EB4B5CD0-03DB-4BFF-A71C-EA81656DABE3}"/>
    <cellStyle name="Normalny 13 2 2 4 5 2" xfId="2345" xr:uid="{21A5A54B-F1D3-4DB5-A107-10C0C6D3A496}"/>
    <cellStyle name="Normalny 13 2 2 4 6" xfId="2235" xr:uid="{64145336-3F9E-4D8E-9BB5-1AC16B8B0098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2 2" xfId="2241" xr:uid="{8F1CC4C3-684A-4384-A8BE-2DBEF2F02214}"/>
    <cellStyle name="Normalny 13 2 2 5 2 3" xfId="1285" xr:uid="{00000000-0005-0000-0000-000006050000}"/>
    <cellStyle name="Normalny 13 2 2 5 3" xfId="1286" xr:uid="{00000000-0005-0000-0000-000007050000}"/>
    <cellStyle name="Normalny 13 2 2 5 3 2" xfId="2242" xr:uid="{887506EA-7ACB-4D3F-A345-6F8147A37723}"/>
    <cellStyle name="Normalny 13 2 2 5 4" xfId="2162" xr:uid="{C3C8C88D-4F90-4AF0-B1DB-3D55CB6649A8}"/>
    <cellStyle name="Normalny 13 2 2 5 4 2" xfId="2347" xr:uid="{9A51CCA3-05A1-4BDC-92FF-8D3403C54B1D}"/>
    <cellStyle name="Normalny 13 2 2 5 5" xfId="2240" xr:uid="{C547B8E2-E1D2-4D62-B85B-F47C2BE3CF16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2 2" xfId="2244" xr:uid="{CFF0077C-3FE0-4696-BCB5-890B43ECBBC0}"/>
    <cellStyle name="Normalny 13 2 2 6 2 3" xfId="1290" xr:uid="{00000000-0005-0000-0000-00000B050000}"/>
    <cellStyle name="Normalny 13 2 2 6 3" xfId="1291" xr:uid="{00000000-0005-0000-0000-00000C050000}"/>
    <cellStyle name="Normalny 13 2 2 6 3 2" xfId="2245" xr:uid="{334EC30B-A318-4F0F-9934-C6B94C90A814}"/>
    <cellStyle name="Normalny 13 2 2 6 4" xfId="2163" xr:uid="{07F190B6-C328-4514-ADFD-5476402B5A80}"/>
    <cellStyle name="Normalny 13 2 2 6 4 2" xfId="2348" xr:uid="{BE9754EB-25B1-4A7D-87FD-04E2F0133551}"/>
    <cellStyle name="Normalny 13 2 2 6 5" xfId="2243" xr:uid="{41FFF607-1C81-4ACF-9207-26F2318DCF6A}"/>
    <cellStyle name="Normalny 13 2 2 7" xfId="1292" xr:uid="{00000000-0005-0000-0000-00000D050000}"/>
    <cellStyle name="Normalny 13 2 2 8" xfId="1293" xr:uid="{00000000-0005-0000-0000-00000E050000}"/>
    <cellStyle name="Normalny 13 2 2 8 2" xfId="2246" xr:uid="{66A90F8F-87FA-474A-A213-AA4DB1DAF8D0}"/>
    <cellStyle name="Normalny 13 2 2 9" xfId="2150" xr:uid="{EC8D4FE5-0E58-4A9B-8E71-996677A1ED4B}"/>
    <cellStyle name="Normalny 13 2 2 9 2" xfId="2335" xr:uid="{3F9BA4C1-A91B-4EB9-A1F9-FB5783F617AE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2 2" xfId="2250" xr:uid="{9FBA5177-FC6E-4A07-8CEC-17478DEC9D5B}"/>
    <cellStyle name="Normalny 13 2 3 2 2 2 3" xfId="1300" xr:uid="{00000000-0005-0000-0000-000015050000}"/>
    <cellStyle name="Normalny 13 2 3 2 2 3" xfId="1301" xr:uid="{00000000-0005-0000-0000-000016050000}"/>
    <cellStyle name="Normalny 13 2 3 2 2 3 2" xfId="2251" xr:uid="{F1041330-13F0-4496-AACD-15330F29C6B4}"/>
    <cellStyle name="Normalny 13 2 3 2 2 4" xfId="2166" xr:uid="{6608F911-8164-47DF-BD65-860459ECBCED}"/>
    <cellStyle name="Normalny 13 2 3 2 2 4 2" xfId="2351" xr:uid="{174E594C-D2C0-46B0-85D0-8301D69247CE}"/>
    <cellStyle name="Normalny 13 2 3 2 2 5" xfId="2249" xr:uid="{6D70A0F5-20FD-4F68-8115-BE701AFDED07}"/>
    <cellStyle name="Normalny 13 2 3 2 3" xfId="1302" xr:uid="{00000000-0005-0000-0000-000017050000}"/>
    <cellStyle name="Normalny 13 2 3 2 4" xfId="1303" xr:uid="{00000000-0005-0000-0000-000018050000}"/>
    <cellStyle name="Normalny 13 2 3 2 4 2" xfId="2252" xr:uid="{E0FCEF8E-3E78-40D1-8EDD-7286F8FF0729}"/>
    <cellStyle name="Normalny 13 2 3 2 5" xfId="2165" xr:uid="{AFFE3B75-6CC0-4678-9871-22CB2CB1FD00}"/>
    <cellStyle name="Normalny 13 2 3 2 5 2" xfId="2350" xr:uid="{6F29B662-F742-4979-9B7E-243101024340}"/>
    <cellStyle name="Normalny 13 2 3 2 6" xfId="2248" xr:uid="{B248AE99-F547-46C6-A2AF-9D79CB83FB3D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2 2" xfId="2255" xr:uid="{7F7B52F2-D78B-432F-B20D-D0B289561EAC}"/>
    <cellStyle name="Normalny 13 2 3 3 2 2 3" xfId="1309" xr:uid="{00000000-0005-0000-0000-00001E050000}"/>
    <cellStyle name="Normalny 13 2 3 3 2 3" xfId="1310" xr:uid="{00000000-0005-0000-0000-00001F050000}"/>
    <cellStyle name="Normalny 13 2 3 3 2 3 2" xfId="2256" xr:uid="{3669ED4C-0BF6-402D-AD43-0185D343ECC3}"/>
    <cellStyle name="Normalny 13 2 3 3 2 4" xfId="2168" xr:uid="{19B3EB98-0053-4C9B-A1C9-D7BC9E38E299}"/>
    <cellStyle name="Normalny 13 2 3 3 2 4 2" xfId="2353" xr:uid="{82D8610A-4100-4E17-8639-3393BBEEC107}"/>
    <cellStyle name="Normalny 13 2 3 3 2 5" xfId="2254" xr:uid="{E2AB604E-6D0D-4163-98B6-DDE7B49D3D49}"/>
    <cellStyle name="Normalny 13 2 3 3 3" xfId="1311" xr:uid="{00000000-0005-0000-0000-000020050000}"/>
    <cellStyle name="Normalny 13 2 3 3 4" xfId="1312" xr:uid="{00000000-0005-0000-0000-000021050000}"/>
    <cellStyle name="Normalny 13 2 3 3 4 2" xfId="2257" xr:uid="{F402498E-130E-44A0-B82B-18A3C7A54238}"/>
    <cellStyle name="Normalny 13 2 3 3 5" xfId="2167" xr:uid="{B1EEFC67-CEC5-4194-BB47-F2968BA5B3EC}"/>
    <cellStyle name="Normalny 13 2 3 3 5 2" xfId="2352" xr:uid="{6476AA18-2DC1-4290-9DE4-FD92149ACE8B}"/>
    <cellStyle name="Normalny 13 2 3 3 6" xfId="2253" xr:uid="{11DA7083-64F2-45BC-8570-98C1AC6D19D7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2 2" xfId="2259" xr:uid="{F8757AD5-6F11-4B10-B38D-EEB82EE6992E}"/>
    <cellStyle name="Normalny 13 2 3 4 2 3" xfId="1317" xr:uid="{00000000-0005-0000-0000-000026050000}"/>
    <cellStyle name="Normalny 13 2 3 4 3" xfId="1318" xr:uid="{00000000-0005-0000-0000-000027050000}"/>
    <cellStyle name="Normalny 13 2 3 4 3 2" xfId="2260" xr:uid="{BB709DA1-1036-4028-BD12-1BE6EEBC6F6C}"/>
    <cellStyle name="Normalny 13 2 3 4 4" xfId="2169" xr:uid="{1BEB5766-3A96-41CB-8E57-1A18EE898A86}"/>
    <cellStyle name="Normalny 13 2 3 4 4 2" xfId="2354" xr:uid="{7419A7B0-0B24-4E58-8790-706947626DF5}"/>
    <cellStyle name="Normalny 13 2 3 4 5" xfId="2258" xr:uid="{2372136D-A7F8-4239-A46F-C70FDD8AC761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2 2" xfId="2262" xr:uid="{98EA6EE2-AB73-4F69-B131-C4EAE3AC8B8A}"/>
    <cellStyle name="Normalny 13 2 3 5 2 3" xfId="1322" xr:uid="{00000000-0005-0000-0000-00002B050000}"/>
    <cellStyle name="Normalny 13 2 3 5 3" xfId="1323" xr:uid="{00000000-0005-0000-0000-00002C050000}"/>
    <cellStyle name="Normalny 13 2 3 5 3 2" xfId="2263" xr:uid="{C589E41A-0861-4744-99AB-22794518EF9C}"/>
    <cellStyle name="Normalny 13 2 3 5 4" xfId="2170" xr:uid="{50E1B735-586C-43EA-95DA-DBDA49920DF0}"/>
    <cellStyle name="Normalny 13 2 3 5 4 2" xfId="2355" xr:uid="{D1B7E130-48DB-449B-8BE9-5C021155BDAB}"/>
    <cellStyle name="Normalny 13 2 3 5 5" xfId="2261" xr:uid="{EEA811FE-93A3-4318-93B2-D8DA40F7E2CF}"/>
    <cellStyle name="Normalny 13 2 3 6" xfId="1324" xr:uid="{00000000-0005-0000-0000-00002D050000}"/>
    <cellStyle name="Normalny 13 2 3 7" xfId="1325" xr:uid="{00000000-0005-0000-0000-00002E050000}"/>
    <cellStyle name="Normalny 13 2 3 7 2" xfId="2264" xr:uid="{415D1577-2EFB-4B50-8343-45E92063FC11}"/>
    <cellStyle name="Normalny 13 2 3 8" xfId="2164" xr:uid="{ADDE951D-F11B-4039-AB5D-316F28F015C7}"/>
    <cellStyle name="Normalny 13 2 3 8 2" xfId="2349" xr:uid="{BCC0126F-F289-4F7F-B6CA-9E96E8AAF06D}"/>
    <cellStyle name="Normalny 13 2 3 9" xfId="2247" xr:uid="{D46C48D0-692F-48F2-9747-1A96554E7B48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2 2" xfId="2267" xr:uid="{3939CE4F-82DB-426D-8613-7B31847762E6}"/>
    <cellStyle name="Normalny 13 2 4 2 2 3" xfId="1331" xr:uid="{00000000-0005-0000-0000-000034050000}"/>
    <cellStyle name="Normalny 13 2 4 2 3" xfId="1332" xr:uid="{00000000-0005-0000-0000-000035050000}"/>
    <cellStyle name="Normalny 13 2 4 2 3 2" xfId="2268" xr:uid="{53041E00-3363-4FC5-BAAD-581F1A3FB18A}"/>
    <cellStyle name="Normalny 13 2 4 2 4" xfId="2172" xr:uid="{82AA043F-3043-4B82-804D-ABBC20157FBD}"/>
    <cellStyle name="Normalny 13 2 4 2 4 2" xfId="2357" xr:uid="{DD857867-EAC4-487F-AD15-10F9FA578071}"/>
    <cellStyle name="Normalny 13 2 4 2 5" xfId="2266" xr:uid="{E59209D4-0C6D-4E3F-B330-3C1EBF9E36ED}"/>
    <cellStyle name="Normalny 13 2 4 3" xfId="1333" xr:uid="{00000000-0005-0000-0000-000036050000}"/>
    <cellStyle name="Normalny 13 2 4 4" xfId="1334" xr:uid="{00000000-0005-0000-0000-000037050000}"/>
    <cellStyle name="Normalny 13 2 4 4 2" xfId="2269" xr:uid="{6738F420-3CBC-4845-8736-19510D317F84}"/>
    <cellStyle name="Normalny 13 2 4 5" xfId="2171" xr:uid="{840BC4E6-70D0-487D-A079-93CBB16CBC50}"/>
    <cellStyle name="Normalny 13 2 4 5 2" xfId="2356" xr:uid="{36FDC824-B1FD-446E-B5F9-7A5D270F5BAE}"/>
    <cellStyle name="Normalny 13 2 4 6" xfId="2265" xr:uid="{22A336CE-A99E-42A4-8742-3410359807A6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2 2" xfId="2272" xr:uid="{E38A411F-71E0-412F-A31F-F3935BCE412F}"/>
    <cellStyle name="Normalny 13 2 5 2 2 3" xfId="1340" xr:uid="{00000000-0005-0000-0000-00003D050000}"/>
    <cellStyle name="Normalny 13 2 5 2 3" xfId="1341" xr:uid="{00000000-0005-0000-0000-00003E050000}"/>
    <cellStyle name="Normalny 13 2 5 2 3 2" xfId="2273" xr:uid="{21B0F4F9-8A4C-4653-9064-1ED38BE0DE3C}"/>
    <cellStyle name="Normalny 13 2 5 2 4" xfId="2174" xr:uid="{14FEAAEC-628E-4C90-81AA-C51F8F2C9129}"/>
    <cellStyle name="Normalny 13 2 5 2 4 2" xfId="2359" xr:uid="{8980BA02-E465-4EF1-A6B2-7CB02C92BE2C}"/>
    <cellStyle name="Normalny 13 2 5 2 5" xfId="2271" xr:uid="{440991C0-CD24-40AB-8D8F-A5A4B549E5FE}"/>
    <cellStyle name="Normalny 13 2 5 3" xfId="1342" xr:uid="{00000000-0005-0000-0000-00003F050000}"/>
    <cellStyle name="Normalny 13 2 5 4" xfId="1343" xr:uid="{00000000-0005-0000-0000-000040050000}"/>
    <cellStyle name="Normalny 13 2 5 4 2" xfId="2274" xr:uid="{61935256-3243-44E0-9ACF-94B276A88DEB}"/>
    <cellStyle name="Normalny 13 2 5 5" xfId="2173" xr:uid="{EB3FD025-E88E-4DCD-9CA7-E6916687AD63}"/>
    <cellStyle name="Normalny 13 2 5 5 2" xfId="2358" xr:uid="{D833D60F-2818-458D-BA5A-D16BA2CAB46D}"/>
    <cellStyle name="Normalny 13 2 5 6" xfId="2270" xr:uid="{98B42A3A-EFFD-4D9E-9227-F3A198B4AF80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2 2" xfId="2276" xr:uid="{7731AC4B-7816-482A-9213-2033F6BB6DCB}"/>
    <cellStyle name="Normalny 13 2 6 2 3" xfId="1348" xr:uid="{00000000-0005-0000-0000-000045050000}"/>
    <cellStyle name="Normalny 13 2 6 3" xfId="1349" xr:uid="{00000000-0005-0000-0000-000046050000}"/>
    <cellStyle name="Normalny 13 2 6 3 2" xfId="2277" xr:uid="{F854CC7C-33CD-4858-97F8-E93D935E3928}"/>
    <cellStyle name="Normalny 13 2 6 4" xfId="2175" xr:uid="{5D061337-2A4C-4464-9DAD-F9576C6DF9CA}"/>
    <cellStyle name="Normalny 13 2 6 4 2" xfId="2360" xr:uid="{2ABC38F8-EDE9-4DD7-8E87-FF8558DF910E}"/>
    <cellStyle name="Normalny 13 2 6 5" xfId="2275" xr:uid="{986CD7F7-D47F-4680-824E-CB77A6930A41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2 2" xfId="2279" xr:uid="{C5B873C2-AB33-4073-83B2-C607BD63B6F0}"/>
    <cellStyle name="Normalny 13 2 7 2 3" xfId="1353" xr:uid="{00000000-0005-0000-0000-00004A050000}"/>
    <cellStyle name="Normalny 13 2 7 3" xfId="1354" xr:uid="{00000000-0005-0000-0000-00004B050000}"/>
    <cellStyle name="Normalny 13 2 7 3 2" xfId="2280" xr:uid="{AC79EFA4-C6EE-42AC-83B3-52AE22D2F25F}"/>
    <cellStyle name="Normalny 13 2 7 4" xfId="2176" xr:uid="{FD274B64-8CFC-4386-A405-08316D2C7A62}"/>
    <cellStyle name="Normalny 13 2 7 4 2" xfId="2361" xr:uid="{81249D87-51C4-4B0E-BAF1-AE2D89F6E5DC}"/>
    <cellStyle name="Normalny 13 2 7 5" xfId="2278" xr:uid="{6F97EA24-3594-4E36-9C56-F42314E8ABC4}"/>
    <cellStyle name="Normalny 13 2 8" xfId="1355" xr:uid="{00000000-0005-0000-0000-00004C050000}"/>
    <cellStyle name="Normalny 13 2 9" xfId="1356" xr:uid="{00000000-0005-0000-0000-00004D050000}"/>
    <cellStyle name="Normalny 13 2 9 2" xfId="2281" xr:uid="{5954345D-227E-42FF-AA05-F352DEC3ECE8}"/>
    <cellStyle name="Normalny 13 2_CHP" xfId="1357" xr:uid="{00000000-0005-0000-0000-00004E050000}"/>
    <cellStyle name="Normalny 13 20" xfId="1358" xr:uid="{00000000-0005-0000-0000-00004F050000}"/>
    <cellStyle name="Normalny 13 20 2" xfId="2282" xr:uid="{AAFA5A98-705E-49BF-99CE-CE62A3467C7F}"/>
    <cellStyle name="Normalny 13 21" xfId="1359" xr:uid="{00000000-0005-0000-0000-000050050000}"/>
    <cellStyle name="Normalny 13 21 2" xfId="2283" xr:uid="{5FB6B4FD-59E5-4299-9E40-8CC3F8163021}"/>
    <cellStyle name="Normalny 13 22" xfId="1360" xr:uid="{00000000-0005-0000-0000-000051050000}"/>
    <cellStyle name="Normalny 13 22 2" xfId="2284" xr:uid="{2993133A-A314-4C44-BCA0-0C86EED0A74C}"/>
    <cellStyle name="Normalny 13 23" xfId="1361" xr:uid="{00000000-0005-0000-0000-000052050000}"/>
    <cellStyle name="Normalny 13 23 2" xfId="2285" xr:uid="{D68A78AD-B49C-4C01-9829-B915D12D30B8}"/>
    <cellStyle name="Normalny 13 24" xfId="1362" xr:uid="{00000000-0005-0000-0000-000053050000}"/>
    <cellStyle name="Normalny 13 24 2" xfId="2286" xr:uid="{C3D54F1B-BE4C-474E-A138-71B96E833E1E}"/>
    <cellStyle name="Normalny 13 25" xfId="1363" xr:uid="{00000000-0005-0000-0000-000054050000}"/>
    <cellStyle name="Normalny 13 25 2" xfId="2287" xr:uid="{CEEFEF0A-34CA-4091-9BA6-9296F9CE1D21}"/>
    <cellStyle name="Normalny 13 26" xfId="2148" xr:uid="{989F6786-ADB6-453A-B044-11B52058B98D}"/>
    <cellStyle name="Normalny 13 26 2" xfId="2333" xr:uid="{66F0BF2A-FDBA-426B-9773-0AC477D2DC25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2 2" xfId="2291" xr:uid="{136A1EC4-FEFD-4C5B-962E-E93FBBFD43F4}"/>
    <cellStyle name="Normalny 13 6 2 2 2 3" xfId="1418" xr:uid="{00000000-0005-0000-0000-00008B050000}"/>
    <cellStyle name="Normalny 13 6 2 2 3" xfId="1419" xr:uid="{00000000-0005-0000-0000-00008C050000}"/>
    <cellStyle name="Normalny 13 6 2 2 3 2" xfId="2292" xr:uid="{2377CE56-5D38-4A17-8910-5867AD0F976A}"/>
    <cellStyle name="Normalny 13 6 2 2 4" xfId="2179" xr:uid="{0419EB6B-17E6-41AF-8B27-C816CD6D2D47}"/>
    <cellStyle name="Normalny 13 6 2 2 4 2" xfId="2364" xr:uid="{75DCA4C6-52D2-430F-B48E-6D3120982169}"/>
    <cellStyle name="Normalny 13 6 2 2 5" xfId="2290" xr:uid="{AF182E8C-B1DE-490C-B468-312197C2BB62}"/>
    <cellStyle name="Normalny 13 6 2 3" xfId="1420" xr:uid="{00000000-0005-0000-0000-00008D050000}"/>
    <cellStyle name="Normalny 13 6 2 4" xfId="1421" xr:uid="{00000000-0005-0000-0000-00008E050000}"/>
    <cellStyle name="Normalny 13 6 2 4 2" xfId="2293" xr:uid="{A8EC6D56-1BAB-474F-9634-3A42CD9BF567}"/>
    <cellStyle name="Normalny 13 6 2 5" xfId="2178" xr:uid="{570B4DE2-0353-435C-BA7B-DA1DC2DD9CD9}"/>
    <cellStyle name="Normalny 13 6 2 5 2" xfId="2363" xr:uid="{0745A4F2-9B3F-4AE3-B587-C19F093F856A}"/>
    <cellStyle name="Normalny 13 6 2 6" xfId="2289" xr:uid="{8244ECBA-19DF-4F8E-8116-0E33499B8088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2 2" xfId="2296" xr:uid="{9015EF37-F25A-4670-81C3-251116858C79}"/>
    <cellStyle name="Normalny 13 6 3 2 2 3" xfId="1427" xr:uid="{00000000-0005-0000-0000-000094050000}"/>
    <cellStyle name="Normalny 13 6 3 2 3" xfId="1428" xr:uid="{00000000-0005-0000-0000-000095050000}"/>
    <cellStyle name="Normalny 13 6 3 2 3 2" xfId="2297" xr:uid="{59CFAB02-9323-4C15-8355-F254FED99D3A}"/>
    <cellStyle name="Normalny 13 6 3 2 4" xfId="2181" xr:uid="{AF8EC05A-83CA-4E1D-AE44-B2B835776E08}"/>
    <cellStyle name="Normalny 13 6 3 2 4 2" xfId="2366" xr:uid="{D30937CF-2ED4-4CB6-B110-CBDB4411268A}"/>
    <cellStyle name="Normalny 13 6 3 2 5" xfId="2295" xr:uid="{1E770721-4806-45A4-93CE-4FD268E8423C}"/>
    <cellStyle name="Normalny 13 6 3 3" xfId="1429" xr:uid="{00000000-0005-0000-0000-000096050000}"/>
    <cellStyle name="Normalny 13 6 3 4" xfId="1430" xr:uid="{00000000-0005-0000-0000-000097050000}"/>
    <cellStyle name="Normalny 13 6 3 4 2" xfId="2298" xr:uid="{CFD466E5-51FB-4F4A-852E-EC59A29F8326}"/>
    <cellStyle name="Normalny 13 6 3 5" xfId="2180" xr:uid="{77064398-4B83-4107-ABD6-97EC604A6A92}"/>
    <cellStyle name="Normalny 13 6 3 5 2" xfId="2365" xr:uid="{436A5F16-05CF-4DC7-97E8-AF7BD2F7B156}"/>
    <cellStyle name="Normalny 13 6 3 6" xfId="2294" xr:uid="{89806FCF-0C7B-438A-8482-CDEB06C80574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2 2" xfId="2300" xr:uid="{C64801D9-6D30-4B34-970A-DFA4DFDD4281}"/>
    <cellStyle name="Normalny 13 6 4 2 3" xfId="1435" xr:uid="{00000000-0005-0000-0000-00009C050000}"/>
    <cellStyle name="Normalny 13 6 4 3" xfId="1436" xr:uid="{00000000-0005-0000-0000-00009D050000}"/>
    <cellStyle name="Normalny 13 6 4 3 2" xfId="2301" xr:uid="{25C89E71-91F3-4010-948E-EB816AE30033}"/>
    <cellStyle name="Normalny 13 6 4 4" xfId="2182" xr:uid="{22DC0381-C663-4BE4-B95D-76C3C68F0422}"/>
    <cellStyle name="Normalny 13 6 4 4 2" xfId="2367" xr:uid="{A75A0A14-57F2-4AF6-974F-2661261519A5}"/>
    <cellStyle name="Normalny 13 6 4 5" xfId="2299" xr:uid="{6944C420-628F-4AF0-ACE7-F678A2530EEB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2 2" xfId="2303" xr:uid="{2B8FE42F-C14B-43D8-926E-3B2EC822E87B}"/>
    <cellStyle name="Normalny 13 6 5 2 3" xfId="1440" xr:uid="{00000000-0005-0000-0000-0000A1050000}"/>
    <cellStyle name="Normalny 13 6 5 3" xfId="1441" xr:uid="{00000000-0005-0000-0000-0000A2050000}"/>
    <cellStyle name="Normalny 13 6 5 3 2" xfId="2304" xr:uid="{5E10DAE9-FD9F-4BB5-B9F7-28710C147CEE}"/>
    <cellStyle name="Normalny 13 6 5 4" xfId="2183" xr:uid="{DE56E6C7-1D99-4D39-9A03-A93E57E61D1A}"/>
    <cellStyle name="Normalny 13 6 5 4 2" xfId="2368" xr:uid="{EA50112E-6438-46E9-8634-ECAB87EFF4F0}"/>
    <cellStyle name="Normalny 13 6 5 5" xfId="2302" xr:uid="{55757B4D-1A38-4DCF-84C5-5C5FEDC71344}"/>
    <cellStyle name="Normalny 13 6 6" xfId="1442" xr:uid="{00000000-0005-0000-0000-0000A3050000}"/>
    <cellStyle name="Normalny 13 6 7" xfId="1443" xr:uid="{00000000-0005-0000-0000-0000A4050000}"/>
    <cellStyle name="Normalny 13 6 7 2" xfId="2305" xr:uid="{26569E02-E180-4F5D-A0F5-14DEB568B9BB}"/>
    <cellStyle name="Normalny 13 6 8" xfId="2177" xr:uid="{83D96AE4-A921-49C9-8C3B-8EACCA00F82B}"/>
    <cellStyle name="Normalny 13 6 8 2" xfId="2362" xr:uid="{E568824A-7D88-4A68-BA01-2FE4B27C36B5}"/>
    <cellStyle name="Normalny 13 6 9" xfId="2288" xr:uid="{402554D4-0898-40DB-9EF6-ABF475060C25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2 2" xfId="2308" xr:uid="{90ACF8FB-7E08-4D35-8168-A11B003B8E80}"/>
    <cellStyle name="Normalny 13 7 2 2 3" xfId="1449" xr:uid="{00000000-0005-0000-0000-0000AA050000}"/>
    <cellStyle name="Normalny 13 7 2 3" xfId="1450" xr:uid="{00000000-0005-0000-0000-0000AB050000}"/>
    <cellStyle name="Normalny 13 7 2 3 2" xfId="2309" xr:uid="{065D3733-0D92-43C3-ACDD-8E24CFE41314}"/>
    <cellStyle name="Normalny 13 7 2 4" xfId="2185" xr:uid="{6138C99D-5EE9-4523-89C1-A747EA6AFD0E}"/>
    <cellStyle name="Normalny 13 7 2 4 2" xfId="2370" xr:uid="{21C11D1D-15AA-43A2-AAE0-3EF4765925C7}"/>
    <cellStyle name="Normalny 13 7 2 5" xfId="2307" xr:uid="{67884088-9E0A-4852-A7C9-11A5E74FB6DF}"/>
    <cellStyle name="Normalny 13 7 3" xfId="1451" xr:uid="{00000000-0005-0000-0000-0000AC050000}"/>
    <cellStyle name="Normalny 13 7 4" xfId="1452" xr:uid="{00000000-0005-0000-0000-0000AD050000}"/>
    <cellStyle name="Normalny 13 7 4 2" xfId="2310" xr:uid="{91BBA9F6-61BD-4BC0-AA6A-0FD102EAC7E7}"/>
    <cellStyle name="Normalny 13 7 5" xfId="2184" xr:uid="{1B7C0450-6D30-4424-94BF-961FA41F7308}"/>
    <cellStyle name="Normalny 13 7 5 2" xfId="2369" xr:uid="{B2D67A53-EF22-4740-9FFC-5E931253B9F2}"/>
    <cellStyle name="Normalny 13 7 6" xfId="2306" xr:uid="{4A2E1741-2CE5-4649-8D5F-D5C8E6A0B295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2 2" xfId="2313" xr:uid="{825D7287-2B9E-4D2C-BECB-7E61D2F81221}"/>
    <cellStyle name="Normalny 13 8 2 2 3" xfId="1458" xr:uid="{00000000-0005-0000-0000-0000B3050000}"/>
    <cellStyle name="Normalny 13 8 2 3" xfId="1459" xr:uid="{00000000-0005-0000-0000-0000B4050000}"/>
    <cellStyle name="Normalny 13 8 2 3 2" xfId="2314" xr:uid="{40742F71-5A5A-4CC7-A7AE-E1DE4DDA1891}"/>
    <cellStyle name="Normalny 13 8 2 4" xfId="2187" xr:uid="{B9795E1C-7E65-4582-A6AC-42A175847B31}"/>
    <cellStyle name="Normalny 13 8 2 4 2" xfId="2372" xr:uid="{E5D6BF04-53CD-4CD9-88CC-2EF8DB068B27}"/>
    <cellStyle name="Normalny 13 8 2 5" xfId="2312" xr:uid="{43742205-C9F8-41D8-A50A-5F44E7D874A4}"/>
    <cellStyle name="Normalny 13 8 3" xfId="1460" xr:uid="{00000000-0005-0000-0000-0000B5050000}"/>
    <cellStyle name="Normalny 13 8 4" xfId="1461" xr:uid="{00000000-0005-0000-0000-0000B6050000}"/>
    <cellStyle name="Normalny 13 8 4 2" xfId="2315" xr:uid="{55A060DF-5985-4643-97F4-90A2DF190F6F}"/>
    <cellStyle name="Normalny 13 8 5" xfId="2186" xr:uid="{1B71D062-D0B5-4FC7-A3B8-F5D499BEFA36}"/>
    <cellStyle name="Normalny 13 8 5 2" xfId="2371" xr:uid="{D88FE3BB-9460-4CE6-B0C0-E5978DFD709A}"/>
    <cellStyle name="Normalny 13 8 6" xfId="2311" xr:uid="{6C8A879A-32FF-41B0-909C-5F54D8376088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2 2" xfId="2317" xr:uid="{E4437EA0-CEB6-4DB4-9EBC-BDD2C4B5EE5B}"/>
    <cellStyle name="Normalny 13 9 2 3" xfId="1466" xr:uid="{00000000-0005-0000-0000-0000BB050000}"/>
    <cellStyle name="Normalny 13 9 3" xfId="1467" xr:uid="{00000000-0005-0000-0000-0000BC050000}"/>
    <cellStyle name="Normalny 13 9 3 2" xfId="2318" xr:uid="{A2B00D07-7C60-4679-A2F6-957ABBE5366E}"/>
    <cellStyle name="Normalny 13 9 4" xfId="2188" xr:uid="{77DF589D-4028-42EB-8B6E-B0358F265D58}"/>
    <cellStyle name="Normalny 13 9 4 2" xfId="2373" xr:uid="{5A291261-36C9-46E1-82A3-A41C41B59164}"/>
    <cellStyle name="Normalny 13 9 5" xfId="2316" xr:uid="{D9DF311F-9289-4BC1-A108-DD327CC019D1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3 2" xfId="2320" xr:uid="{3B80E319-92B5-4315-9FF8-3EB20DA4C0C8}"/>
    <cellStyle name="Normalny 21 4" xfId="2196" xr:uid="{470AD680-3B8A-4BF0-B2F0-6980A5E342EB}"/>
    <cellStyle name="Normalny 21 5" xfId="2319" xr:uid="{2FE6DD20-4884-46EB-A05B-37CA4414E44D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2 2" xfId="2322" xr:uid="{3DD2941A-DCEF-42FC-95D7-F029B7F46D21}"/>
    <cellStyle name="Normalny 26 3" xfId="1553" xr:uid="{00000000-0005-0000-0000-000012060000}"/>
    <cellStyle name="Normalny 26 4" xfId="2321" xr:uid="{697FD202-912C-47D9-8A46-6B93D75EC79B}"/>
    <cellStyle name="Normalny 27" xfId="1554" xr:uid="{00000000-0005-0000-0000-000013060000}"/>
    <cellStyle name="Normalny 27 2" xfId="2323" xr:uid="{2E9A877F-218B-4CC2-ADC3-EA40C9A0CF8F}"/>
    <cellStyle name="Normalny 28" xfId="1555" xr:uid="{00000000-0005-0000-0000-000014060000}"/>
    <cellStyle name="Normalny 29" xfId="1556" xr:uid="{00000000-0005-0000-0000-000015060000}"/>
    <cellStyle name="Normalny 29 2" xfId="2324" xr:uid="{CFDF01C9-0759-4EE0-AC63-4D57159D049B}"/>
    <cellStyle name="Normalny 3" xfId="1557" xr:uid="{00000000-0005-0000-0000-000016060000}"/>
    <cellStyle name="Normalny 30" xfId="1558" xr:uid="{00000000-0005-0000-0000-000017060000}"/>
    <cellStyle name="Normalny 30 2" xfId="2325" xr:uid="{F9B0E679-8EBC-48E1-95FA-0CF97290C9EE}"/>
    <cellStyle name="Normalny 31" xfId="1559" xr:uid="{00000000-0005-0000-0000-000018060000}"/>
    <cellStyle name="Normalny 31 2" xfId="2326" xr:uid="{EC636438-F262-4E30-88D1-73F89CAD022A}"/>
    <cellStyle name="Normalny 32" xfId="1560" xr:uid="{00000000-0005-0000-0000-000019060000}"/>
    <cellStyle name="Normalny 32 2" xfId="2327" xr:uid="{6689241D-D02E-41B0-ABCE-FE6D88978C18}"/>
    <cellStyle name="Normalny 33" xfId="1561" xr:uid="{00000000-0005-0000-0000-00001A060000}"/>
    <cellStyle name="Normalny 33 2" xfId="2328" xr:uid="{CCE77CF6-E168-490C-8D4B-CF2BBE3C90E1}"/>
    <cellStyle name="Normalny 34" xfId="1562" xr:uid="{00000000-0005-0000-0000-00001B060000}"/>
    <cellStyle name="Normalny 34 2" xfId="2329" xr:uid="{2ED7ABA1-97C8-4D76-8719-17968647AF1A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41"/>
  <sheetViews>
    <sheetView tabSelected="1" topLeftCell="A3" zoomScale="114" zoomScaleNormal="115" workbookViewId="0">
      <selection activeCell="J12" sqref="J11:J12"/>
    </sheetView>
  </sheetViews>
  <sheetFormatPr defaultRowHeight="13.2"/>
  <cols>
    <col min="1" max="1" width="2.88671875" customWidth="1"/>
    <col min="2" max="2" width="24.5546875" customWidth="1"/>
    <col min="3" max="3" width="20.109375" customWidth="1"/>
    <col min="4" max="4" width="20.5546875" customWidth="1"/>
    <col min="5" max="5" width="12.109375" customWidth="1"/>
    <col min="6" max="6" width="12" customWidth="1"/>
    <col min="7" max="7" width="12.5546875" customWidth="1"/>
    <col min="8" max="10" width="12.6640625" customWidth="1"/>
    <col min="11" max="11" width="13.88671875" customWidth="1"/>
    <col min="12" max="15" width="15.33203125" customWidth="1"/>
  </cols>
  <sheetData>
    <row r="2" spans="2:21" ht="15" customHeight="1">
      <c r="B2" s="6" t="s">
        <v>14</v>
      </c>
      <c r="D2" s="10" t="s">
        <v>0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1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2</v>
      </c>
      <c r="F5" s="8"/>
      <c r="G5" s="7"/>
      <c r="H5" s="7"/>
      <c r="I5" s="7"/>
      <c r="L5" s="7"/>
      <c r="M5" s="7"/>
    </row>
    <row r="6" spans="2:21" ht="31.65" customHeight="1"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4" t="s">
        <v>8</v>
      </c>
      <c r="H6" s="14" t="s">
        <v>11</v>
      </c>
      <c r="I6" s="14" t="s">
        <v>12</v>
      </c>
      <c r="J6" s="14" t="s">
        <v>31</v>
      </c>
      <c r="K6" s="14" t="s">
        <v>32</v>
      </c>
      <c r="L6" s="14" t="s">
        <v>9</v>
      </c>
      <c r="M6" s="13" t="s">
        <v>10</v>
      </c>
    </row>
    <row r="7" spans="2:21" ht="47.25" customHeight="1" thickBot="1"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32" t="s">
        <v>20</v>
      </c>
      <c r="H7" s="32"/>
      <c r="I7" s="32"/>
      <c r="J7" s="32"/>
      <c r="K7" s="32"/>
      <c r="L7" s="15" t="s">
        <v>21</v>
      </c>
      <c r="M7" s="15" t="s">
        <v>22</v>
      </c>
    </row>
    <row r="8" spans="2:21" ht="42" customHeight="1" thickBot="1">
      <c r="B8" s="16" t="s">
        <v>13</v>
      </c>
      <c r="C8" s="31" t="s">
        <v>34</v>
      </c>
      <c r="D8" s="16" t="s">
        <v>36</v>
      </c>
      <c r="E8" s="12" t="s">
        <v>37</v>
      </c>
      <c r="F8" s="12">
        <v>1</v>
      </c>
      <c r="G8" s="30">
        <f>0.5*G39</f>
        <v>121.85149240264997</v>
      </c>
      <c r="H8" s="30">
        <f>0.5*H25</f>
        <v>69.803424657534137</v>
      </c>
      <c r="I8" s="30">
        <f t="shared" ref="I8:K8" si="0">0.5*I25</f>
        <v>82.8</v>
      </c>
      <c r="J8" s="30">
        <f t="shared" si="0"/>
        <v>95.39498630136994</v>
      </c>
      <c r="K8" s="30">
        <f t="shared" si="0"/>
        <v>108.19076712328818</v>
      </c>
      <c r="L8" s="12">
        <v>5</v>
      </c>
      <c r="M8" s="11"/>
    </row>
    <row r="10" spans="2:21">
      <c r="B10" s="5"/>
    </row>
    <row r="17" spans="4:11">
      <c r="D17" s="5" t="s">
        <v>33</v>
      </c>
    </row>
    <row r="21" spans="4:11">
      <c r="D21" s="17"/>
      <c r="E21" s="18"/>
    </row>
    <row r="22" spans="4:11">
      <c r="D22" s="19" t="s">
        <v>23</v>
      </c>
      <c r="E22" s="20">
        <v>2023</v>
      </c>
      <c r="F22" s="20">
        <v>2025</v>
      </c>
      <c r="G22" s="20">
        <v>2030</v>
      </c>
      <c r="H22" s="20">
        <v>2035</v>
      </c>
      <c r="I22" s="20">
        <v>2040</v>
      </c>
      <c r="J22" s="20">
        <v>2045</v>
      </c>
      <c r="K22" s="20">
        <v>2050</v>
      </c>
    </row>
    <row r="23" spans="4:11" ht="13.2" customHeight="1">
      <c r="D23" s="21" t="s">
        <v>24</v>
      </c>
      <c r="E23" s="33" t="s">
        <v>25</v>
      </c>
      <c r="F23" s="33"/>
      <c r="G23" s="33"/>
      <c r="H23" s="33"/>
      <c r="I23" s="33"/>
      <c r="J23" s="33"/>
      <c r="K23" s="33"/>
    </row>
    <row r="24" spans="4:11">
      <c r="D24" t="s">
        <v>26</v>
      </c>
      <c r="E24" s="22">
        <f>0.8*E29*3.6</f>
        <v>315.04320000000001</v>
      </c>
      <c r="F24" s="22">
        <f t="shared" ref="F24:K24" si="1">0.8*F29*3.6</f>
        <v>353.69490410959179</v>
      </c>
      <c r="G24" s="22">
        <f t="shared" si="1"/>
        <v>452.16</v>
      </c>
      <c r="H24" s="22">
        <f t="shared" si="1"/>
        <v>558.4273972602731</v>
      </c>
      <c r="I24" s="22">
        <f t="shared" si="1"/>
        <v>662.4</v>
      </c>
      <c r="J24" s="22">
        <f t="shared" si="1"/>
        <v>763.15989041095952</v>
      </c>
      <c r="K24" s="22">
        <f t="shared" si="1"/>
        <v>865.52613698630546</v>
      </c>
    </row>
    <row r="25" spans="4:11">
      <c r="D25" s="25" t="s">
        <v>35</v>
      </c>
      <c r="E25" s="22">
        <f>0.2*E29*3.6</f>
        <v>78.760800000000003</v>
      </c>
      <c r="F25" s="22">
        <f t="shared" ref="F25:K25" si="2">0.2*F29*3.6</f>
        <v>88.423726027397947</v>
      </c>
      <c r="G25" s="22">
        <f t="shared" si="2"/>
        <v>113.04</v>
      </c>
      <c r="H25" s="22">
        <f t="shared" si="2"/>
        <v>139.60684931506827</v>
      </c>
      <c r="I25" s="22">
        <f t="shared" si="2"/>
        <v>165.6</v>
      </c>
      <c r="J25" s="22">
        <f t="shared" si="2"/>
        <v>190.78997260273988</v>
      </c>
      <c r="K25" s="22">
        <f t="shared" si="2"/>
        <v>216.38153424657636</v>
      </c>
    </row>
    <row r="26" spans="4:11">
      <c r="F26" s="23"/>
      <c r="G26" s="23"/>
      <c r="H26" s="23"/>
      <c r="I26" s="23"/>
      <c r="J26" s="23"/>
      <c r="K26" s="23"/>
    </row>
    <row r="27" spans="4:11">
      <c r="E27" s="24" t="s">
        <v>27</v>
      </c>
      <c r="F27" s="23"/>
      <c r="G27" s="23"/>
      <c r="H27" s="23"/>
      <c r="I27" s="23"/>
      <c r="J27" s="23"/>
      <c r="K27" s="23"/>
    </row>
    <row r="28" spans="4:11">
      <c r="E28" s="20">
        <v>2023</v>
      </c>
      <c r="F28" s="20">
        <v>2025</v>
      </c>
      <c r="G28" s="20">
        <v>2030</v>
      </c>
      <c r="H28" s="20">
        <v>2035</v>
      </c>
      <c r="I28" s="20">
        <v>2040</v>
      </c>
      <c r="J28" s="20">
        <v>2045</v>
      </c>
      <c r="K28" s="20">
        <v>2050</v>
      </c>
    </row>
    <row r="29" spans="4:11">
      <c r="D29" s="25" t="s">
        <v>28</v>
      </c>
      <c r="E29" s="26">
        <v>109.39</v>
      </c>
      <c r="F29" s="27">
        <f>_xlfn.FORECAST.LINEAR(2025,{109.39;157;230}, {2023;2030;2040})</f>
        <v>122.81073059360824</v>
      </c>
      <c r="G29" s="26">
        <v>157</v>
      </c>
      <c r="H29" s="27">
        <f>_xlfn.FORECAST.LINEAR(2035,{109.39;157;230}, {2023;2030;2040})</f>
        <v>193.89840182648368</v>
      </c>
      <c r="I29" s="26">
        <v>230</v>
      </c>
      <c r="J29" s="27">
        <f>_xlfn.FORECAST.LINEAR(2045,{109.39;157;230}, {2023;2030;2040})</f>
        <v>264.98607305936093</v>
      </c>
      <c r="K29" s="27">
        <f>_xlfn.FORECAST.LINEAR(2050,{109.39;157;230}, {2023;2030;2040})</f>
        <v>300.52990867580047</v>
      </c>
    </row>
    <row r="31" spans="4:11">
      <c r="E31" s="28" t="s">
        <v>29</v>
      </c>
    </row>
    <row r="32" spans="4:11">
      <c r="E32" s="29"/>
      <c r="F32" s="25" t="s">
        <v>30</v>
      </c>
    </row>
    <row r="36" spans="4:8">
      <c r="D36" s="19" t="s">
        <v>23</v>
      </c>
      <c r="E36" s="20">
        <v>2024</v>
      </c>
      <c r="F36" s="20">
        <v>2025</v>
      </c>
      <c r="G36" s="20">
        <v>2030</v>
      </c>
    </row>
    <row r="37" spans="4:8" ht="13.2" customHeight="1">
      <c r="D37" s="21" t="s">
        <v>24</v>
      </c>
      <c r="E37" s="34" t="s">
        <v>25</v>
      </c>
      <c r="F37" s="34"/>
      <c r="G37" s="34"/>
    </row>
    <row r="38" spans="4:8">
      <c r="D38" t="s">
        <v>26</v>
      </c>
      <c r="E38">
        <v>395.99891185173067</v>
      </c>
      <c r="F38">
        <v>392.54883965396471</v>
      </c>
      <c r="G38">
        <v>454.6970151947001</v>
      </c>
    </row>
    <row r="39" spans="4:8">
      <c r="D39" t="s">
        <v>35</v>
      </c>
      <c r="E39">
        <v>212.24268814826934</v>
      </c>
      <c r="F39">
        <v>210.39356034603534</v>
      </c>
      <c r="G39">
        <v>243.70298480529993</v>
      </c>
    </row>
    <row r="41" spans="4:8">
      <c r="H41">
        <f>G39/G38</f>
        <v>0.53596785697162963</v>
      </c>
    </row>
  </sheetData>
  <mergeCells count="2">
    <mergeCell ref="G7:K7"/>
    <mergeCell ref="E23:K23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330F525A-FEFE-4BB8-9F68-DD242C684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414681-578E-43B8-8934-BC5759CBC3B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853a583b-5a39-49db-b57b-0c8a2ee0f312"/>
    <ds:schemaRef ds:uri="45d80b71-d53a-4925-9636-d69011c62a0b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Jan Wyrwa</cp:lastModifiedBy>
  <cp:revision/>
  <dcterms:created xsi:type="dcterms:W3CDTF">2007-09-10T09:34:18Z</dcterms:created>
  <dcterms:modified xsi:type="dcterms:W3CDTF">2026-07-28T10:11:48Z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410778284072875</vt:r8>
  </property>
</Properties>
</file>